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7A" sheetId="1" r:id="rId5"/>
    <sheet state="visible" name="KELAS 7B" sheetId="2" r:id="rId6"/>
    <sheet state="visible" name="KELAS 7C" sheetId="3" r:id="rId7"/>
    <sheet state="visible" name="KELAS 7D" sheetId="4" r:id="rId8"/>
    <sheet state="visible" name="KELAS 7E" sheetId="5" r:id="rId9"/>
    <sheet state="visible" name="KELAS 7F" sheetId="6" r:id="rId10"/>
    <sheet state="visible" name="KELAS 7G" sheetId="7" r:id="rId11"/>
    <sheet state="visible" name="Sheet4" sheetId="8" r:id="rId12"/>
  </sheets>
  <definedNames/>
  <calcPr/>
</workbook>
</file>

<file path=xl/sharedStrings.xml><?xml version="1.0" encoding="utf-8"?>
<sst xmlns="http://schemas.openxmlformats.org/spreadsheetml/2006/main" count="973" uniqueCount="468">
  <si>
    <t>PEMBAGIAN KELAS 7</t>
  </si>
  <si>
    <t>SMP NEGERI 1 SLOGOHIMO</t>
  </si>
  <si>
    <t>TAHUN AJARAN 2026/2027</t>
  </si>
  <si>
    <t>KELAS</t>
  </si>
  <si>
    <t>ABSEN</t>
  </si>
  <si>
    <t>NO. INDUK</t>
  </si>
  <si>
    <t>NAMA PESERTA DIDIK</t>
  </si>
  <si>
    <t>JENIS KELAMIN</t>
  </si>
  <si>
    <t>VII A</t>
  </si>
  <si>
    <t>9267</t>
  </si>
  <si>
    <t>ABDUL GHANI</t>
  </si>
  <si>
    <t>L</t>
  </si>
  <si>
    <t>9268</t>
  </si>
  <si>
    <t>Abinaya Raasyid Hanindito</t>
  </si>
  <si>
    <t>9269</t>
  </si>
  <si>
    <t>ADAM ROBI'USALAM SAIROJI</t>
  </si>
  <si>
    <t>9270</t>
  </si>
  <si>
    <t>ADISTYON PUTERI</t>
  </si>
  <si>
    <t>P</t>
  </si>
  <si>
    <t>9271</t>
  </si>
  <si>
    <t>AISYAH KHUMAIRA YUMNA ASYROFINA</t>
  </si>
  <si>
    <t>9272</t>
  </si>
  <si>
    <t>AKMAL AIDIL AKBAR</t>
  </si>
  <si>
    <t>9273</t>
  </si>
  <si>
    <t>ARYA PUTRA RAMDHANI</t>
  </si>
  <si>
    <t>9274</t>
  </si>
  <si>
    <t>ATIKA MEYZA WIJAYA</t>
  </si>
  <si>
    <t>9275</t>
  </si>
  <si>
    <t>Daffa Arya Ghossan</t>
  </si>
  <si>
    <t>9276</t>
  </si>
  <si>
    <t>DAMAR RAMDHAN ARZAKI</t>
  </si>
  <si>
    <t>9277</t>
  </si>
  <si>
    <t>DEFA MAULANA PRASTYA</t>
  </si>
  <si>
    <t>9278</t>
  </si>
  <si>
    <t>DENANDA BILKIS PUTRI ARTRI</t>
  </si>
  <si>
    <t>9279</t>
  </si>
  <si>
    <t>ESA SYAFA ADZKYA</t>
  </si>
  <si>
    <t>9280</t>
  </si>
  <si>
    <t>FAREL ZAKI EFENDI</t>
  </si>
  <si>
    <t>9281</t>
  </si>
  <si>
    <t>Fatih Rayhan Aziz</t>
  </si>
  <si>
    <t>9282</t>
  </si>
  <si>
    <t>GAIN ADINA RASHIDA</t>
  </si>
  <si>
    <t>9283</t>
  </si>
  <si>
    <t>Grace Afifa Fitiya</t>
  </si>
  <si>
    <t>9284</t>
  </si>
  <si>
    <t>HABIBAH UMMU HASANAH</t>
  </si>
  <si>
    <t>9285</t>
  </si>
  <si>
    <t>HAFIDZ HASSANUDIEN ARSYAD</t>
  </si>
  <si>
    <t>9286</t>
  </si>
  <si>
    <t>ISMI MARFUAH</t>
  </si>
  <si>
    <t>9287</t>
  </si>
  <si>
    <t>Keylen Mareta Anjani</t>
  </si>
  <si>
    <t>9288</t>
  </si>
  <si>
    <t>MELYNA ZAHRATU NIDA</t>
  </si>
  <si>
    <t>9289</t>
  </si>
  <si>
    <t>Mizael Hizkia Christnandhito</t>
  </si>
  <si>
    <t>9290</t>
  </si>
  <si>
    <t>Najwa Fazilla Alfaiqah</t>
  </si>
  <si>
    <t>9291</t>
  </si>
  <si>
    <t>NASYA ADELIA HANIFAH</t>
  </si>
  <si>
    <t>9292</t>
  </si>
  <si>
    <t>NINO ADITYA PAMUNGKAS</t>
  </si>
  <si>
    <t>9293</t>
  </si>
  <si>
    <t>RAFARDHAN AUFANDARREL ATHALLA</t>
  </si>
  <si>
    <t>9294</t>
  </si>
  <si>
    <t>SALMA ZAHRA RATIFA</t>
  </si>
  <si>
    <t>9295</t>
  </si>
  <si>
    <t>YOHANA KRISTANTI</t>
  </si>
  <si>
    <t>9296</t>
  </si>
  <si>
    <t>ZASKIA SYIFA AZ ZAHRA</t>
  </si>
  <si>
    <t>9297</t>
  </si>
  <si>
    <t>ZULFANIA AZZAHRA</t>
  </si>
  <si>
    <t>9298</t>
  </si>
  <si>
    <t>ZULLAIKHA AZ ZAHRA</t>
  </si>
  <si>
    <t>Jumlah L</t>
  </si>
  <si>
    <t>Jumlah P</t>
  </si>
  <si>
    <t xml:space="preserve">Jumlah </t>
  </si>
  <si>
    <t>VII B</t>
  </si>
  <si>
    <t>9299</t>
  </si>
  <si>
    <t>ADITYA MAULANA ALFARIZKY</t>
  </si>
  <si>
    <t>9300</t>
  </si>
  <si>
    <t>ALKHALIFI AZKA PRASETYA</t>
  </si>
  <si>
    <t>9301</t>
  </si>
  <si>
    <t>AMMAR ABIYYU ABDUL KARIM</t>
  </si>
  <si>
    <t>9302</t>
  </si>
  <si>
    <t>ANDINI FITRIA SARI</t>
  </si>
  <si>
    <t>9303</t>
  </si>
  <si>
    <t>AQILA ALIYA PUTRI</t>
  </si>
  <si>
    <t>9304</t>
  </si>
  <si>
    <t>AQILAH NAZIFA KHAIRUNNISA</t>
  </si>
  <si>
    <t>9305</t>
  </si>
  <si>
    <t>ATIKA DWINIDA PUTRI</t>
  </si>
  <si>
    <t>9306</t>
  </si>
  <si>
    <t>AZKA ALVARO IRAWAN</t>
  </si>
  <si>
    <t>9307</t>
  </si>
  <si>
    <t>BAGOES ANINDYA RAMADHAN</t>
  </si>
  <si>
    <t>9308</t>
  </si>
  <si>
    <t>BINTANG RIZKY PRATAMA</t>
  </si>
  <si>
    <t>9309</t>
  </si>
  <si>
    <t>DESTAMA MAHARDIKA</t>
  </si>
  <si>
    <t>9310</t>
  </si>
  <si>
    <t>Dinda Aulia Syahfitri</t>
  </si>
  <si>
    <t>9311</t>
  </si>
  <si>
    <t>EKA NUR SAPUTRI</t>
  </si>
  <si>
    <t>9312</t>
  </si>
  <si>
    <t>FACHRIASTA USWAH HARIMURTI</t>
  </si>
  <si>
    <t>9313</t>
  </si>
  <si>
    <t>IBRAHIM PUTRA PAMUNGKAS</t>
  </si>
  <si>
    <t>9314</t>
  </si>
  <si>
    <t>Indah Octaviani Fadiyah</t>
  </si>
  <si>
    <t>9315</t>
  </si>
  <si>
    <t>Kaira Nur Azizah</t>
  </si>
  <si>
    <t>9316</t>
  </si>
  <si>
    <t>KAYSHA PUTRI ARLIN</t>
  </si>
  <si>
    <t>9317</t>
  </si>
  <si>
    <t>Kholifah Nur Laily</t>
  </si>
  <si>
    <t>9318</t>
  </si>
  <si>
    <t>MUHAMMAD RIZKY HENGKY PRADANA</t>
  </si>
  <si>
    <t>9319</t>
  </si>
  <si>
    <t>NAKHILLA SEKAR RAMADHANI</t>
  </si>
  <si>
    <t>9320</t>
  </si>
  <si>
    <t>NATASYA KHAIRUNNISA</t>
  </si>
  <si>
    <t>9321</t>
  </si>
  <si>
    <t>NAURA NURMAYA RAHMADHANI</t>
  </si>
  <si>
    <t>9322</t>
  </si>
  <si>
    <t>NESYA FIORENZA AURORA</t>
  </si>
  <si>
    <t>9323</t>
  </si>
  <si>
    <t>NUMA AFIFAH ARMANTYA</t>
  </si>
  <si>
    <t>9324</t>
  </si>
  <si>
    <t>Raihana Anivia</t>
  </si>
  <si>
    <t>9325</t>
  </si>
  <si>
    <t>REIHAN ADHITYA</t>
  </si>
  <si>
    <t>9326</t>
  </si>
  <si>
    <t>REYZA AURELIA AZAHRA</t>
  </si>
  <si>
    <t>9327</t>
  </si>
  <si>
    <t>SARAH LEILA LATHIFAH</t>
  </si>
  <si>
    <t>9328</t>
  </si>
  <si>
    <t>SHAFA LEVINA ORDELIA</t>
  </si>
  <si>
    <t>9329</t>
  </si>
  <si>
    <t>Yoga Za'iim Zakii Akbar</t>
  </si>
  <si>
    <t>9330</t>
  </si>
  <si>
    <t>ZAHIRA AKILA KHAIRANI</t>
  </si>
  <si>
    <t>VII C</t>
  </si>
  <si>
    <t>9331</t>
  </si>
  <si>
    <t>Adia Fathina Ramadhani</t>
  </si>
  <si>
    <t>9332</t>
  </si>
  <si>
    <t>AINA THALITA ZAHRAN</t>
  </si>
  <si>
    <t>9333</t>
  </si>
  <si>
    <t>ALBY AQILA PRANAJA</t>
  </si>
  <si>
    <t>9334</t>
  </si>
  <si>
    <t>AMANDA JANETA PUTRI</t>
  </si>
  <si>
    <t>9335</t>
  </si>
  <si>
    <t>Amir Putra Marazyni</t>
  </si>
  <si>
    <t>9336</t>
  </si>
  <si>
    <t>ANDI MUHAMAD PRASTIYO</t>
  </si>
  <si>
    <t>9337</t>
  </si>
  <si>
    <t>Aqila Putri Maheswari</t>
  </si>
  <si>
    <t>9338</t>
  </si>
  <si>
    <t>ARI SUGIARTO</t>
  </si>
  <si>
    <t>9339</t>
  </si>
  <si>
    <t>ASHNA ILAYKA</t>
  </si>
  <si>
    <t>9340</t>
  </si>
  <si>
    <t>AUDREY MULYA PRANANDA SEKARWANGI</t>
  </si>
  <si>
    <t>9341</t>
  </si>
  <si>
    <t>Az Zahra Roffi Adiibah</t>
  </si>
  <si>
    <t>9342</t>
  </si>
  <si>
    <t>Azzahra Nur Afifah</t>
  </si>
  <si>
    <t>9343</t>
  </si>
  <si>
    <t>BAGUS PRADIPTA TOLEDO</t>
  </si>
  <si>
    <t>9344</t>
  </si>
  <si>
    <t>BILQIS AULIA PUTRI PRABOWO</t>
  </si>
  <si>
    <t>9345</t>
  </si>
  <si>
    <t>DEBY AZZAHRA SALWA PUTRI</t>
  </si>
  <si>
    <t>9346</t>
  </si>
  <si>
    <t>DIMAS HADI WIJAYA</t>
  </si>
  <si>
    <t>9347</t>
  </si>
  <si>
    <t>FAEYZA AKMAL IBRAHIM</t>
  </si>
  <si>
    <t>9348</t>
  </si>
  <si>
    <t>GIAN ADITYA ARDHANI</t>
  </si>
  <si>
    <t>9349</t>
  </si>
  <si>
    <t>JENIVER L VELENCYA AICHO</t>
  </si>
  <si>
    <t>9350</t>
  </si>
  <si>
    <t>JERO NUGROHO</t>
  </si>
  <si>
    <t>9351</t>
  </si>
  <si>
    <t>KARISMA SUCI</t>
  </si>
  <si>
    <t>9352</t>
  </si>
  <si>
    <t>MAHADRI DEMAS AL GIBRAN</t>
  </si>
  <si>
    <t>9353</t>
  </si>
  <si>
    <t>MAHESWARA AJIVA SAPUTRA</t>
  </si>
  <si>
    <t>9354</t>
  </si>
  <si>
    <t>NABIHAN PUTRA HARTANDRA</t>
  </si>
  <si>
    <t>9355</t>
  </si>
  <si>
    <t>NAYLA ALVIENA</t>
  </si>
  <si>
    <t>9356</t>
  </si>
  <si>
    <t>SATRIA AJI NUGROHO</t>
  </si>
  <si>
    <t>9357</t>
  </si>
  <si>
    <t>SATRIA PUTRA WIJAYA</t>
  </si>
  <si>
    <t>9358</t>
  </si>
  <si>
    <t>SEKAR AYU LARASATI</t>
  </si>
  <si>
    <t>9359</t>
  </si>
  <si>
    <t>SEKAR KINASIH ASHILA</t>
  </si>
  <si>
    <t>9360</t>
  </si>
  <si>
    <t>VANESSA AERYLIN BELVANIA ADI</t>
  </si>
  <si>
    <t>9361</t>
  </si>
  <si>
    <t>vina naillatul izzah</t>
  </si>
  <si>
    <t>9362</t>
  </si>
  <si>
    <t>Zaila Nurul Jannah</t>
  </si>
  <si>
    <t>VII D</t>
  </si>
  <si>
    <t>9363</t>
  </si>
  <si>
    <t>ADHELLA FALISYA ERBIEY</t>
  </si>
  <si>
    <t>9364</t>
  </si>
  <si>
    <t>ADISTA ASKA SALSABILA</t>
  </si>
  <si>
    <t>9365</t>
  </si>
  <si>
    <t>AHMAD FATHONI</t>
  </si>
  <si>
    <t>9366</t>
  </si>
  <si>
    <t>Alinka Khaira Wilda</t>
  </si>
  <si>
    <t>9367</t>
  </si>
  <si>
    <t>ASRI SULISTYO AJI</t>
  </si>
  <si>
    <t>9368</t>
  </si>
  <si>
    <t>ASTANINDRA AL GHIFARI</t>
  </si>
  <si>
    <t>9369</t>
  </si>
  <si>
    <t>ATAYA CHIKO JUNIOR</t>
  </si>
  <si>
    <t>9370</t>
  </si>
  <si>
    <t>AZZELIA VERINA PUTRI KHALISA</t>
  </si>
  <si>
    <t>9371</t>
  </si>
  <si>
    <t>DAMARA MIKAELA ANGEL</t>
  </si>
  <si>
    <t>9372</t>
  </si>
  <si>
    <t>DIVA ANGGUN PRATIWI</t>
  </si>
  <si>
    <t>9373</t>
  </si>
  <si>
    <t>EGA APRILIO SURYA SAPUTRA</t>
  </si>
  <si>
    <t>9374</t>
  </si>
  <si>
    <t>ELISYA ZUHRI YULISTIANI</t>
  </si>
  <si>
    <t>9375</t>
  </si>
  <si>
    <t>FATAN ADJI PAMUNGKAS</t>
  </si>
  <si>
    <t>9376</t>
  </si>
  <si>
    <t>FEANRAMOERRA AFIDA</t>
  </si>
  <si>
    <t>9377</t>
  </si>
  <si>
    <t>GRISELDA GLENYS AYUNDA</t>
  </si>
  <si>
    <t>9378</t>
  </si>
  <si>
    <t>GUGUN MAULANA SAPUTRA</t>
  </si>
  <si>
    <t>9379</t>
  </si>
  <si>
    <t>HERMAWAN BAGUS AJI</t>
  </si>
  <si>
    <t>9380</t>
  </si>
  <si>
    <t>IGOLDA KRISTIANO BERNADIN</t>
  </si>
  <si>
    <t>9381</t>
  </si>
  <si>
    <t>KAYLA ALA'ISYA BERLIAN</t>
  </si>
  <si>
    <t>9382</t>
  </si>
  <si>
    <t>KENES BATARIHAYU MAHARSITO</t>
  </si>
  <si>
    <t>9383</t>
  </si>
  <si>
    <t>KYNATHA ZAHRATU NIDA</t>
  </si>
  <si>
    <t>9384</t>
  </si>
  <si>
    <t>MIEKO CINTA MAHESTRI</t>
  </si>
  <si>
    <t>9385</t>
  </si>
  <si>
    <t>MUHAMMAD DAFFA ARDIANSYAH</t>
  </si>
  <si>
    <t>9386</t>
  </si>
  <si>
    <t>NADIYA MAULIDA HUSNA</t>
  </si>
  <si>
    <t>9387</t>
  </si>
  <si>
    <t>NAUFAL RASYDAN AHNAF</t>
  </si>
  <si>
    <t>9388</t>
  </si>
  <si>
    <t>ODILIA KEIYA AILANI</t>
  </si>
  <si>
    <t>9389</t>
  </si>
  <si>
    <t>PURI KINANTI PRABANALA</t>
  </si>
  <si>
    <t>9390</t>
  </si>
  <si>
    <t>RAISSA BELVINA NOVANT KIRANA</t>
  </si>
  <si>
    <t>9391</t>
  </si>
  <si>
    <t>Roihan Adillah Pratama</t>
  </si>
  <si>
    <t>9392</t>
  </si>
  <si>
    <t>SHAKILA ANINDYA MAHESWARI</t>
  </si>
  <si>
    <t>9393</t>
  </si>
  <si>
    <t>WILDAN GONIA PRATAMA</t>
  </si>
  <si>
    <t>9394</t>
  </si>
  <si>
    <t>ZHINDY ANGGRAINI</t>
  </si>
  <si>
    <t>VII E</t>
  </si>
  <si>
    <t>9395</t>
  </si>
  <si>
    <t>Adizh Abigael</t>
  </si>
  <si>
    <t>9396</t>
  </si>
  <si>
    <t>AHMAD OIS AL-HABSYI</t>
  </si>
  <si>
    <t>9397</t>
  </si>
  <si>
    <t>Akhdan El Azzam</t>
  </si>
  <si>
    <t>9398</t>
  </si>
  <si>
    <t>AKHDAN LATIF AZIZAN</t>
  </si>
  <si>
    <t>9399</t>
  </si>
  <si>
    <t>ALAN ZIDAN CRYSTYANTO</t>
  </si>
  <si>
    <t>9400</t>
  </si>
  <si>
    <t>Alhisyam Adli Pratama</t>
  </si>
  <si>
    <t>9401</t>
  </si>
  <si>
    <t>Aliana Cantika</t>
  </si>
  <si>
    <t>9402</t>
  </si>
  <si>
    <t>ANGGI BELLA OKTAVIANI</t>
  </si>
  <si>
    <t>9403</t>
  </si>
  <si>
    <t>ANITA RISKY WULANDARI</t>
  </si>
  <si>
    <t>9404</t>
  </si>
  <si>
    <t>ANNISA NUR FADHILAH</t>
  </si>
  <si>
    <t>9405</t>
  </si>
  <si>
    <t>AQILA FEBY UFAIRA</t>
  </si>
  <si>
    <t>9406</t>
  </si>
  <si>
    <t>AQILA PUTRI SEPTIYANI</t>
  </si>
  <si>
    <t>9407</t>
  </si>
  <si>
    <t>ARDHANI HAFIZ DZAKADITYA</t>
  </si>
  <si>
    <t>9408</t>
  </si>
  <si>
    <t>ATHARIZZ DHANY HERMAWAN</t>
  </si>
  <si>
    <t>9409</t>
  </si>
  <si>
    <t>AYNA CAHYANI</t>
  </si>
  <si>
    <t>9410</t>
  </si>
  <si>
    <t>Cantika Juliana Siyami</t>
  </si>
  <si>
    <t>9411</t>
  </si>
  <si>
    <t>DAMAR MAULANA</t>
  </si>
  <si>
    <t>9412</t>
  </si>
  <si>
    <t>FAUZI NUR HIDAYAT</t>
  </si>
  <si>
    <t>9413</t>
  </si>
  <si>
    <t>HANA SABRINA LITAHAYU</t>
  </si>
  <si>
    <t>9414</t>
  </si>
  <si>
    <t>JAGAD PINAJAR MAHAADIATMA</t>
  </si>
  <si>
    <t>9415</t>
  </si>
  <si>
    <t>JAZMIKA CANDRA AS TUTI</t>
  </si>
  <si>
    <t>9416</t>
  </si>
  <si>
    <t>KAISA ELHAN LAILAFIRDAUS</t>
  </si>
  <si>
    <t>9417</t>
  </si>
  <si>
    <t>Meisya Siar As Sidiq</t>
  </si>
  <si>
    <t>9418</t>
  </si>
  <si>
    <t>NADIPA JUANATA</t>
  </si>
  <si>
    <t>9419</t>
  </si>
  <si>
    <t>NEYLA MOZHA AZ ZAHRA</t>
  </si>
  <si>
    <t>9420</t>
  </si>
  <si>
    <t>NINDYA ALLWA YULIANI</t>
  </si>
  <si>
    <t>9421</t>
  </si>
  <si>
    <t>NUHA AFIFAH ARMANTYA</t>
  </si>
  <si>
    <t>9422</t>
  </si>
  <si>
    <t>SHOFIE SALSABILA JAYADI</t>
  </si>
  <si>
    <t>9423</t>
  </si>
  <si>
    <t>STEVANI CALISTA PUTRI</t>
  </si>
  <si>
    <t>9424</t>
  </si>
  <si>
    <t>VIRMAN MAULANA</t>
  </si>
  <si>
    <t>9425</t>
  </si>
  <si>
    <t>Wa Alda Ektyando</t>
  </si>
  <si>
    <t>9426</t>
  </si>
  <si>
    <t>YUCI KAYLEE KAYIMA</t>
  </si>
  <si>
    <t>VII F</t>
  </si>
  <si>
    <t>9427</t>
  </si>
  <si>
    <t>Alby Lutfy  Nurfahry</t>
  </si>
  <si>
    <t>9428</t>
  </si>
  <si>
    <t>AHMAD NUR ATHIFAR</t>
  </si>
  <si>
    <t>9429</t>
  </si>
  <si>
    <t>ALIFA CAHYAQOLBY RUSDIARA</t>
  </si>
  <si>
    <t>9430</t>
  </si>
  <si>
    <t>Alifah Salsabila</t>
  </si>
  <si>
    <t>9431</t>
  </si>
  <si>
    <t>Alisya Nur Afifah</t>
  </si>
  <si>
    <t>9432</t>
  </si>
  <si>
    <t>ALVINNO ARYA PRATAMA</t>
  </si>
  <si>
    <t>9433</t>
  </si>
  <si>
    <t>ALYA ELMYRA SAKHI</t>
  </si>
  <si>
    <t>9434</t>
  </si>
  <si>
    <t>ANINDITA ZAILA LARASATI</t>
  </si>
  <si>
    <t>9435</t>
  </si>
  <si>
    <t>ANISA AZZAHRA</t>
  </si>
  <si>
    <t>9436</t>
  </si>
  <si>
    <t>AQILLA VALENTIA SYAHWA</t>
  </si>
  <si>
    <t>9437</t>
  </si>
  <si>
    <t>ARDHAN HAFIDZ ALGHOZALI</t>
  </si>
  <si>
    <t>9438</t>
  </si>
  <si>
    <t>AULIA DWI RAHMAWATI</t>
  </si>
  <si>
    <t>9439</t>
  </si>
  <si>
    <t>DAFFA LUTFY FACHRY</t>
  </si>
  <si>
    <t>9440</t>
  </si>
  <si>
    <t>DEVAN ALVARO HERNAWAN</t>
  </si>
  <si>
    <t>9441</t>
  </si>
  <si>
    <t>ECA SALSABILA KIRANA</t>
  </si>
  <si>
    <t>9442</t>
  </si>
  <si>
    <t>FAHRI MUHAMAD SAFI'I</t>
  </si>
  <si>
    <t>9443</t>
  </si>
  <si>
    <t>FAMELA NUR UTAMI</t>
  </si>
  <si>
    <t>9444</t>
  </si>
  <si>
    <t>FATTAN SAFARAZ BUDIHANTO</t>
  </si>
  <si>
    <t>9445</t>
  </si>
  <si>
    <t>GANDIS DWI SAPUTRI</t>
  </si>
  <si>
    <t>9446</t>
  </si>
  <si>
    <t>Inggrid Bening Cahaya</t>
  </si>
  <si>
    <t>9447</t>
  </si>
  <si>
    <t>LINTANG PUTRI HAPSARI</t>
  </si>
  <si>
    <t>9448</t>
  </si>
  <si>
    <t>LUQMAN DZAKY ALMAIR</t>
  </si>
  <si>
    <t>9449</t>
  </si>
  <si>
    <t>Muhammad Aufar Musthafa</t>
  </si>
  <si>
    <t>9450</t>
  </si>
  <si>
    <t>NADHIFA SALSABILA HERVIANY</t>
  </si>
  <si>
    <t>9451</t>
  </si>
  <si>
    <t>NASYA FIORENZA AURORA</t>
  </si>
  <si>
    <t>9452</t>
  </si>
  <si>
    <t>NAURA INAYA RAFA</t>
  </si>
  <si>
    <t>9453</t>
  </si>
  <si>
    <t>Rifqi Noviansah</t>
  </si>
  <si>
    <t>9454</t>
  </si>
  <si>
    <t>SALWA AZZAHRA</t>
  </si>
  <si>
    <t>9455</t>
  </si>
  <si>
    <t>SANAFREA AULIA MEYTHESYA</t>
  </si>
  <si>
    <t>9456</t>
  </si>
  <si>
    <t>SHAQILA CITRA SABRINA</t>
  </si>
  <si>
    <t>9457</t>
  </si>
  <si>
    <t>YOGA TRI NUGROHO</t>
  </si>
  <si>
    <t>9458</t>
  </si>
  <si>
    <t>ZIYFA WIDYANINGRUM</t>
  </si>
  <si>
    <t>VII G</t>
  </si>
  <si>
    <t>9459</t>
  </si>
  <si>
    <t>ABID PUTRA PAMBUDI</t>
  </si>
  <si>
    <t>9460</t>
  </si>
  <si>
    <t>ADITYA NAUFAL DARY ABIYYU</t>
  </si>
  <si>
    <t>9461</t>
  </si>
  <si>
    <t>Al Fata Rahmawati Pramesti</t>
  </si>
  <si>
    <t>9462</t>
  </si>
  <si>
    <t>ARNANDO BRIAN FAEYZA</t>
  </si>
  <si>
    <t>9463</t>
  </si>
  <si>
    <t>ASNA ATIQAH HANIN</t>
  </si>
  <si>
    <t>9464</t>
  </si>
  <si>
    <t>ASYILA NAYYA REVINA</t>
  </si>
  <si>
    <t>9465</t>
  </si>
  <si>
    <t>Az Zahra Nurul An Nisa</t>
  </si>
  <si>
    <t>9466</t>
  </si>
  <si>
    <t>AZAKI EGA LUTFIAN</t>
  </si>
  <si>
    <t>9467</t>
  </si>
  <si>
    <t>Azrael Hizkia Christnandhito</t>
  </si>
  <si>
    <t>9468</t>
  </si>
  <si>
    <t>ELENA TITO</t>
  </si>
  <si>
    <t>9469</t>
  </si>
  <si>
    <t>Elmalia Hera</t>
  </si>
  <si>
    <t>9470</t>
  </si>
  <si>
    <t>EXCEL ZIGGY SAVIERO</t>
  </si>
  <si>
    <t>9471</t>
  </si>
  <si>
    <t>FEBRIANA RAHAYU</t>
  </si>
  <si>
    <t>9472</t>
  </si>
  <si>
    <t>FERLYN SYAQILA ASYHA</t>
  </si>
  <si>
    <t>9473</t>
  </si>
  <si>
    <t>FRICILLA PUTRI DWIYANA</t>
  </si>
  <si>
    <t>9474</t>
  </si>
  <si>
    <t>MEGHAN ERLANO</t>
  </si>
  <si>
    <t>9475</t>
  </si>
  <si>
    <t>MICHELLA ALYA SAFIQHA</t>
  </si>
  <si>
    <t>9476</t>
  </si>
  <si>
    <t>MUHAMMAD RIZKY ARYA PRATAMA</t>
  </si>
  <si>
    <t>9477</t>
  </si>
  <si>
    <t>Muhammad Yusuf Ibrahim</t>
  </si>
  <si>
    <t>9478</t>
  </si>
  <si>
    <t>MUTIARA KAIRUNNISA LARASATI</t>
  </si>
  <si>
    <t>9479</t>
  </si>
  <si>
    <t>NURRAHMA EKA DWI ARYANI</t>
  </si>
  <si>
    <t>9480</t>
  </si>
  <si>
    <t>Rasya Heppy Destiana</t>
  </si>
  <si>
    <t>9481</t>
  </si>
  <si>
    <t>RIFAI JAKARIA ADI LUHUNG</t>
  </si>
  <si>
    <t>9482</t>
  </si>
  <si>
    <t>RIFKI CHAIRUL NURROZI</t>
  </si>
  <si>
    <t>9483</t>
  </si>
  <si>
    <t>RIZKY ZAKIATHA</t>
  </si>
  <si>
    <t>9484</t>
  </si>
  <si>
    <t>SALMA AZZAHRA</t>
  </si>
  <si>
    <t>9485</t>
  </si>
  <si>
    <t>SEFTIANA EKA PUTRI</t>
  </si>
  <si>
    <t>9486</t>
  </si>
  <si>
    <t>VERA ANANDA</t>
  </si>
  <si>
    <t>9487</t>
  </si>
  <si>
    <t>VIOLLA KHANZA SAHNA</t>
  </si>
  <si>
    <t>9488</t>
  </si>
  <si>
    <t>YOSEF FEBRIANTO</t>
  </si>
  <si>
    <t>9489</t>
  </si>
  <si>
    <t>ZAHWA ALIFA WIBOWO</t>
  </si>
  <si>
    <t>9490</t>
  </si>
  <si>
    <t>ZAINA LIVIANA RAMADHANI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</si>
</sst>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/>
    </xf>
    <xf borderId="1" fillId="0" fontId="4" numFmtId="49" xfId="0" applyAlignment="1" applyBorder="1" applyFont="1" applyNumberFormat="1">
      <alignment horizontal="center"/>
    </xf>
    <xf borderId="1" fillId="2" fontId="4" numFmtId="0" xfId="0" applyBorder="1" applyFill="1" applyFont="1"/>
    <xf borderId="1" fillId="2" fontId="4" numFmtId="0" xfId="0" applyAlignment="1" applyBorder="1" applyFont="1">
      <alignment horizontal="center"/>
    </xf>
    <xf borderId="0" fillId="0" fontId="2" numFmtId="49" xfId="0" applyAlignment="1" applyFont="1" applyNumberFormat="1">
      <alignment vertical="bottom"/>
    </xf>
    <xf borderId="1" fillId="0" fontId="4" numFmtId="0" xfId="0" applyAlignment="1" applyBorder="1" applyFont="1">
      <alignment shrinkToFit="0" wrapText="1"/>
    </xf>
    <xf borderId="2" fillId="2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bottom"/>
    </xf>
    <xf borderId="1" fillId="2" fontId="5" numFmtId="0" xfId="0" applyBorder="1" applyFont="1"/>
    <xf borderId="1" fillId="2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0"/>
    <col customWidth="1" min="4" max="4" width="34.5"/>
    <col customWidth="1" min="5" max="5" width="14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  <c r="B4" s="2"/>
      <c r="C4" s="2"/>
      <c r="D4" s="2"/>
      <c r="E4" s="2"/>
    </row>
    <row r="5" ht="44.2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8</v>
      </c>
      <c r="B6" s="6">
        <v>1.0</v>
      </c>
      <c r="C6" s="7" t="s">
        <v>9</v>
      </c>
      <c r="D6" s="8" t="s">
        <v>10</v>
      </c>
      <c r="E6" s="9" t="s">
        <v>11</v>
      </c>
    </row>
    <row r="7">
      <c r="A7" s="5" t="s">
        <v>8</v>
      </c>
      <c r="B7" s="6">
        <v>2.0</v>
      </c>
      <c r="C7" s="7" t="s">
        <v>12</v>
      </c>
      <c r="D7" s="8" t="s">
        <v>13</v>
      </c>
      <c r="E7" s="9" t="s">
        <v>11</v>
      </c>
    </row>
    <row r="8">
      <c r="A8" s="5" t="s">
        <v>8</v>
      </c>
      <c r="B8" s="6">
        <v>3.0</v>
      </c>
      <c r="C8" s="7" t="s">
        <v>14</v>
      </c>
      <c r="D8" s="8" t="s">
        <v>15</v>
      </c>
      <c r="E8" s="9" t="s">
        <v>11</v>
      </c>
    </row>
    <row r="9">
      <c r="A9" s="5" t="s">
        <v>8</v>
      </c>
      <c r="B9" s="6">
        <v>4.0</v>
      </c>
      <c r="C9" s="7" t="s">
        <v>16</v>
      </c>
      <c r="D9" s="8" t="s">
        <v>17</v>
      </c>
      <c r="E9" s="9" t="s">
        <v>18</v>
      </c>
    </row>
    <row r="10">
      <c r="A10" s="5" t="s">
        <v>8</v>
      </c>
      <c r="B10" s="6">
        <v>5.0</v>
      </c>
      <c r="C10" s="7" t="s">
        <v>19</v>
      </c>
      <c r="D10" s="8" t="s">
        <v>20</v>
      </c>
      <c r="E10" s="9" t="s">
        <v>18</v>
      </c>
    </row>
    <row r="11">
      <c r="A11" s="5" t="s">
        <v>8</v>
      </c>
      <c r="B11" s="6">
        <v>6.0</v>
      </c>
      <c r="C11" s="7" t="s">
        <v>21</v>
      </c>
      <c r="D11" s="8" t="s">
        <v>22</v>
      </c>
      <c r="E11" s="9" t="s">
        <v>11</v>
      </c>
    </row>
    <row r="12">
      <c r="A12" s="5" t="s">
        <v>8</v>
      </c>
      <c r="B12" s="6">
        <v>7.0</v>
      </c>
      <c r="C12" s="7" t="s">
        <v>23</v>
      </c>
      <c r="D12" s="8" t="s">
        <v>24</v>
      </c>
      <c r="E12" s="9" t="s">
        <v>11</v>
      </c>
    </row>
    <row r="13">
      <c r="A13" s="5" t="s">
        <v>8</v>
      </c>
      <c r="B13" s="6">
        <v>8.0</v>
      </c>
      <c r="C13" s="7" t="s">
        <v>25</v>
      </c>
      <c r="D13" s="8" t="s">
        <v>26</v>
      </c>
      <c r="E13" s="9" t="s">
        <v>18</v>
      </c>
    </row>
    <row r="14">
      <c r="A14" s="5" t="s">
        <v>8</v>
      </c>
      <c r="B14" s="6">
        <v>9.0</v>
      </c>
      <c r="C14" s="7" t="s">
        <v>27</v>
      </c>
      <c r="D14" s="8" t="s">
        <v>28</v>
      </c>
      <c r="E14" s="9" t="s">
        <v>11</v>
      </c>
    </row>
    <row r="15">
      <c r="A15" s="5" t="s">
        <v>8</v>
      </c>
      <c r="B15" s="6">
        <v>10.0</v>
      </c>
      <c r="C15" s="7" t="s">
        <v>29</v>
      </c>
      <c r="D15" s="8" t="s">
        <v>30</v>
      </c>
      <c r="E15" s="9" t="s">
        <v>11</v>
      </c>
    </row>
    <row r="16">
      <c r="A16" s="5" t="s">
        <v>8</v>
      </c>
      <c r="B16" s="6">
        <v>11.0</v>
      </c>
      <c r="C16" s="7" t="s">
        <v>31</v>
      </c>
      <c r="D16" s="8" t="s">
        <v>32</v>
      </c>
      <c r="E16" s="9" t="s">
        <v>11</v>
      </c>
    </row>
    <row r="17">
      <c r="A17" s="5" t="s">
        <v>8</v>
      </c>
      <c r="B17" s="6">
        <v>12.0</v>
      </c>
      <c r="C17" s="7" t="s">
        <v>33</v>
      </c>
      <c r="D17" s="8" t="s">
        <v>34</v>
      </c>
      <c r="E17" s="9" t="s">
        <v>18</v>
      </c>
    </row>
    <row r="18">
      <c r="A18" s="5" t="s">
        <v>8</v>
      </c>
      <c r="B18" s="6">
        <v>13.0</v>
      </c>
      <c r="C18" s="7" t="s">
        <v>35</v>
      </c>
      <c r="D18" s="8" t="s">
        <v>36</v>
      </c>
      <c r="E18" s="9" t="s">
        <v>18</v>
      </c>
    </row>
    <row r="19">
      <c r="A19" s="5" t="s">
        <v>8</v>
      </c>
      <c r="B19" s="6">
        <v>14.0</v>
      </c>
      <c r="C19" s="7" t="s">
        <v>37</v>
      </c>
      <c r="D19" s="8" t="s">
        <v>38</v>
      </c>
      <c r="E19" s="9" t="s">
        <v>11</v>
      </c>
    </row>
    <row r="20">
      <c r="A20" s="5" t="s">
        <v>8</v>
      </c>
      <c r="B20" s="6">
        <v>15.0</v>
      </c>
      <c r="C20" s="7" t="s">
        <v>39</v>
      </c>
      <c r="D20" s="8" t="s">
        <v>40</v>
      </c>
      <c r="E20" s="9" t="s">
        <v>11</v>
      </c>
    </row>
    <row r="21">
      <c r="A21" s="5" t="s">
        <v>8</v>
      </c>
      <c r="B21" s="6">
        <v>16.0</v>
      </c>
      <c r="C21" s="7" t="s">
        <v>41</v>
      </c>
      <c r="D21" s="8" t="s">
        <v>42</v>
      </c>
      <c r="E21" s="9" t="s">
        <v>18</v>
      </c>
    </row>
    <row r="22">
      <c r="A22" s="5" t="s">
        <v>8</v>
      </c>
      <c r="B22" s="6">
        <v>17.0</v>
      </c>
      <c r="C22" s="7" t="s">
        <v>43</v>
      </c>
      <c r="D22" s="8" t="s">
        <v>44</v>
      </c>
      <c r="E22" s="9" t="s">
        <v>18</v>
      </c>
    </row>
    <row r="23">
      <c r="A23" s="5" t="s">
        <v>8</v>
      </c>
      <c r="B23" s="6">
        <v>18.0</v>
      </c>
      <c r="C23" s="7" t="s">
        <v>45</v>
      </c>
      <c r="D23" s="8" t="s">
        <v>46</v>
      </c>
      <c r="E23" s="9" t="s">
        <v>18</v>
      </c>
    </row>
    <row r="24">
      <c r="A24" s="5" t="s">
        <v>8</v>
      </c>
      <c r="B24" s="6">
        <v>19.0</v>
      </c>
      <c r="C24" s="7" t="s">
        <v>47</v>
      </c>
      <c r="D24" s="8" t="s">
        <v>48</v>
      </c>
      <c r="E24" s="9" t="s">
        <v>11</v>
      </c>
    </row>
    <row r="25">
      <c r="A25" s="5" t="s">
        <v>8</v>
      </c>
      <c r="B25" s="6">
        <v>20.0</v>
      </c>
      <c r="C25" s="7" t="s">
        <v>49</v>
      </c>
      <c r="D25" s="8" t="s">
        <v>50</v>
      </c>
      <c r="E25" s="9" t="s">
        <v>18</v>
      </c>
    </row>
    <row r="26">
      <c r="A26" s="5" t="s">
        <v>8</v>
      </c>
      <c r="B26" s="6">
        <v>21.0</v>
      </c>
      <c r="C26" s="7" t="s">
        <v>51</v>
      </c>
      <c r="D26" s="8" t="s">
        <v>52</v>
      </c>
      <c r="E26" s="9" t="s">
        <v>18</v>
      </c>
    </row>
    <row r="27">
      <c r="A27" s="5" t="s">
        <v>8</v>
      </c>
      <c r="B27" s="6">
        <v>22.0</v>
      </c>
      <c r="C27" s="7" t="s">
        <v>53</v>
      </c>
      <c r="D27" s="8" t="s">
        <v>54</v>
      </c>
      <c r="E27" s="9" t="s">
        <v>18</v>
      </c>
    </row>
    <row r="28">
      <c r="A28" s="5" t="s">
        <v>8</v>
      </c>
      <c r="B28" s="6">
        <v>23.0</v>
      </c>
      <c r="C28" s="7" t="s">
        <v>55</v>
      </c>
      <c r="D28" s="8" t="s">
        <v>56</v>
      </c>
      <c r="E28" s="9" t="s">
        <v>11</v>
      </c>
    </row>
    <row r="29">
      <c r="A29" s="5" t="s">
        <v>8</v>
      </c>
      <c r="B29" s="6">
        <v>24.0</v>
      </c>
      <c r="C29" s="7" t="s">
        <v>57</v>
      </c>
      <c r="D29" s="8" t="s">
        <v>58</v>
      </c>
      <c r="E29" s="9" t="s">
        <v>18</v>
      </c>
    </row>
    <row r="30">
      <c r="A30" s="5" t="s">
        <v>8</v>
      </c>
      <c r="B30" s="6">
        <v>25.0</v>
      </c>
      <c r="C30" s="7" t="s">
        <v>59</v>
      </c>
      <c r="D30" s="8" t="s">
        <v>60</v>
      </c>
      <c r="E30" s="9" t="s">
        <v>18</v>
      </c>
    </row>
    <row r="31">
      <c r="A31" s="5" t="s">
        <v>8</v>
      </c>
      <c r="B31" s="6">
        <v>26.0</v>
      </c>
      <c r="C31" s="7" t="s">
        <v>61</v>
      </c>
      <c r="D31" s="8" t="s">
        <v>62</v>
      </c>
      <c r="E31" s="9" t="s">
        <v>11</v>
      </c>
    </row>
    <row r="32">
      <c r="A32" s="5" t="s">
        <v>8</v>
      </c>
      <c r="B32" s="6">
        <v>27.0</v>
      </c>
      <c r="C32" s="7" t="s">
        <v>63</v>
      </c>
      <c r="D32" s="8" t="s">
        <v>64</v>
      </c>
      <c r="E32" s="9" t="s">
        <v>11</v>
      </c>
    </row>
    <row r="33">
      <c r="A33" s="5" t="s">
        <v>8</v>
      </c>
      <c r="B33" s="6">
        <v>28.0</v>
      </c>
      <c r="C33" s="7" t="s">
        <v>65</v>
      </c>
      <c r="D33" s="8" t="s">
        <v>66</v>
      </c>
      <c r="E33" s="9" t="s">
        <v>18</v>
      </c>
    </row>
    <row r="34">
      <c r="A34" s="5" t="s">
        <v>8</v>
      </c>
      <c r="B34" s="6">
        <v>29.0</v>
      </c>
      <c r="C34" s="7" t="s">
        <v>67</v>
      </c>
      <c r="D34" s="8" t="s">
        <v>68</v>
      </c>
      <c r="E34" s="9" t="s">
        <v>18</v>
      </c>
    </row>
    <row r="35">
      <c r="A35" s="5" t="s">
        <v>8</v>
      </c>
      <c r="B35" s="6">
        <v>30.0</v>
      </c>
      <c r="C35" s="7" t="s">
        <v>69</v>
      </c>
      <c r="D35" s="8" t="s">
        <v>70</v>
      </c>
      <c r="E35" s="9" t="s">
        <v>18</v>
      </c>
    </row>
    <row r="36">
      <c r="A36" s="5" t="s">
        <v>8</v>
      </c>
      <c r="B36" s="6">
        <v>31.0</v>
      </c>
      <c r="C36" s="7" t="s">
        <v>71</v>
      </c>
      <c r="D36" s="8" t="s">
        <v>72</v>
      </c>
      <c r="E36" s="9" t="s">
        <v>18</v>
      </c>
    </row>
    <row r="37">
      <c r="A37" s="5" t="s">
        <v>8</v>
      </c>
      <c r="B37" s="6">
        <v>32.0</v>
      </c>
      <c r="C37" s="7" t="s">
        <v>73</v>
      </c>
      <c r="D37" s="8" t="s">
        <v>74</v>
      </c>
      <c r="E37" s="9" t="s">
        <v>18</v>
      </c>
    </row>
    <row r="38">
      <c r="A38" s="2"/>
      <c r="B38" s="2"/>
      <c r="C38" s="10"/>
      <c r="D38" s="11" t="s">
        <v>75</v>
      </c>
      <c r="E38" s="6">
        <f>COUNTIF(E6:E37,"L")</f>
        <v>14</v>
      </c>
    </row>
    <row r="39">
      <c r="A39" s="2"/>
      <c r="B39" s="2"/>
      <c r="C39" s="12"/>
      <c r="D39" s="11" t="s">
        <v>76</v>
      </c>
      <c r="E39" s="6">
        <f>COUNTIF(E6:E37,"P")</f>
        <v>18</v>
      </c>
    </row>
    <row r="40">
      <c r="A40" s="2"/>
      <c r="B40" s="2"/>
      <c r="C40" s="12"/>
      <c r="D40" s="11" t="s">
        <v>77</v>
      </c>
      <c r="E40" s="13">
        <f>SUM(E38:E39)</f>
        <v>32</v>
      </c>
    </row>
  </sheetData>
  <mergeCells count="3">
    <mergeCell ref="A2:E2"/>
    <mergeCell ref="A3:E3"/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25"/>
    <col customWidth="1" min="4" max="4" width="34.88"/>
    <col customWidth="1" min="5" max="5" width="16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  <c r="B4" s="2"/>
      <c r="C4" s="2"/>
      <c r="D4" s="2"/>
      <c r="E4" s="2"/>
    </row>
    <row r="5" ht="35.2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>
      <c r="A6" s="5" t="s">
        <v>78</v>
      </c>
      <c r="B6" s="6">
        <v>1.0</v>
      </c>
      <c r="C6" s="7" t="s">
        <v>79</v>
      </c>
      <c r="D6" s="8" t="s">
        <v>80</v>
      </c>
      <c r="E6" s="9" t="s">
        <v>11</v>
      </c>
    </row>
    <row r="7">
      <c r="A7" s="5" t="s">
        <v>78</v>
      </c>
      <c r="B7" s="6">
        <v>2.0</v>
      </c>
      <c r="C7" s="7" t="s">
        <v>81</v>
      </c>
      <c r="D7" s="8" t="s">
        <v>82</v>
      </c>
      <c r="E7" s="9" t="s">
        <v>11</v>
      </c>
    </row>
    <row r="8">
      <c r="A8" s="5" t="s">
        <v>78</v>
      </c>
      <c r="B8" s="6">
        <v>3.0</v>
      </c>
      <c r="C8" s="7" t="s">
        <v>83</v>
      </c>
      <c r="D8" s="8" t="s">
        <v>84</v>
      </c>
      <c r="E8" s="9" t="s">
        <v>11</v>
      </c>
    </row>
    <row r="9">
      <c r="A9" s="5" t="s">
        <v>78</v>
      </c>
      <c r="B9" s="6">
        <v>4.0</v>
      </c>
      <c r="C9" s="7" t="s">
        <v>85</v>
      </c>
      <c r="D9" s="8" t="s">
        <v>86</v>
      </c>
      <c r="E9" s="9" t="s">
        <v>18</v>
      </c>
    </row>
    <row r="10">
      <c r="A10" s="5" t="s">
        <v>78</v>
      </c>
      <c r="B10" s="6">
        <v>5.0</v>
      </c>
      <c r="C10" s="7" t="s">
        <v>87</v>
      </c>
      <c r="D10" s="8" t="s">
        <v>88</v>
      </c>
      <c r="E10" s="9" t="s">
        <v>18</v>
      </c>
    </row>
    <row r="11">
      <c r="A11" s="5" t="s">
        <v>78</v>
      </c>
      <c r="B11" s="6">
        <v>6.0</v>
      </c>
      <c r="C11" s="7" t="s">
        <v>89</v>
      </c>
      <c r="D11" s="8" t="s">
        <v>90</v>
      </c>
      <c r="E11" s="9" t="s">
        <v>18</v>
      </c>
    </row>
    <row r="12">
      <c r="A12" s="5" t="s">
        <v>78</v>
      </c>
      <c r="B12" s="6">
        <v>7.0</v>
      </c>
      <c r="C12" s="7" t="s">
        <v>91</v>
      </c>
      <c r="D12" s="8" t="s">
        <v>92</v>
      </c>
      <c r="E12" s="9" t="s">
        <v>18</v>
      </c>
    </row>
    <row r="13">
      <c r="A13" s="5" t="s">
        <v>78</v>
      </c>
      <c r="B13" s="6">
        <v>8.0</v>
      </c>
      <c r="C13" s="7" t="s">
        <v>93</v>
      </c>
      <c r="D13" s="8" t="s">
        <v>94</v>
      </c>
      <c r="E13" s="9" t="s">
        <v>11</v>
      </c>
    </row>
    <row r="14">
      <c r="A14" s="5" t="s">
        <v>78</v>
      </c>
      <c r="B14" s="6">
        <v>9.0</v>
      </c>
      <c r="C14" s="7" t="s">
        <v>95</v>
      </c>
      <c r="D14" s="8" t="s">
        <v>96</v>
      </c>
      <c r="E14" s="9" t="s">
        <v>11</v>
      </c>
    </row>
    <row r="15">
      <c r="A15" s="5" t="s">
        <v>78</v>
      </c>
      <c r="B15" s="6">
        <v>10.0</v>
      </c>
      <c r="C15" s="7" t="s">
        <v>97</v>
      </c>
      <c r="D15" s="8" t="s">
        <v>98</v>
      </c>
      <c r="E15" s="9" t="s">
        <v>11</v>
      </c>
    </row>
    <row r="16">
      <c r="A16" s="5" t="s">
        <v>78</v>
      </c>
      <c r="B16" s="6">
        <v>11.0</v>
      </c>
      <c r="C16" s="7" t="s">
        <v>99</v>
      </c>
      <c r="D16" s="8" t="s">
        <v>100</v>
      </c>
      <c r="E16" s="9" t="s">
        <v>11</v>
      </c>
    </row>
    <row r="17">
      <c r="A17" s="5" t="s">
        <v>78</v>
      </c>
      <c r="B17" s="6">
        <v>12.0</v>
      </c>
      <c r="C17" s="7" t="s">
        <v>101</v>
      </c>
      <c r="D17" s="8" t="s">
        <v>102</v>
      </c>
      <c r="E17" s="9" t="s">
        <v>18</v>
      </c>
    </row>
    <row r="18">
      <c r="A18" s="5" t="s">
        <v>78</v>
      </c>
      <c r="B18" s="6">
        <v>13.0</v>
      </c>
      <c r="C18" s="7" t="s">
        <v>103</v>
      </c>
      <c r="D18" s="8" t="s">
        <v>104</v>
      </c>
      <c r="E18" s="9" t="s">
        <v>18</v>
      </c>
    </row>
    <row r="19">
      <c r="A19" s="5" t="s">
        <v>78</v>
      </c>
      <c r="B19" s="6">
        <v>14.0</v>
      </c>
      <c r="C19" s="7" t="s">
        <v>105</v>
      </c>
      <c r="D19" s="8" t="s">
        <v>106</v>
      </c>
      <c r="E19" s="9" t="s">
        <v>11</v>
      </c>
    </row>
    <row r="20">
      <c r="A20" s="5" t="s">
        <v>78</v>
      </c>
      <c r="B20" s="6">
        <v>15.0</v>
      </c>
      <c r="C20" s="7" t="s">
        <v>107</v>
      </c>
      <c r="D20" s="8" t="s">
        <v>108</v>
      </c>
      <c r="E20" s="9" t="s">
        <v>11</v>
      </c>
    </row>
    <row r="21">
      <c r="A21" s="5" t="s">
        <v>78</v>
      </c>
      <c r="B21" s="6">
        <v>16.0</v>
      </c>
      <c r="C21" s="7" t="s">
        <v>109</v>
      </c>
      <c r="D21" s="8" t="s">
        <v>110</v>
      </c>
      <c r="E21" s="9" t="s">
        <v>18</v>
      </c>
    </row>
    <row r="22">
      <c r="A22" s="5" t="s">
        <v>78</v>
      </c>
      <c r="B22" s="6">
        <v>17.0</v>
      </c>
      <c r="C22" s="7" t="s">
        <v>111</v>
      </c>
      <c r="D22" s="8" t="s">
        <v>112</v>
      </c>
      <c r="E22" s="9" t="s">
        <v>18</v>
      </c>
    </row>
    <row r="23">
      <c r="A23" s="5" t="s">
        <v>78</v>
      </c>
      <c r="B23" s="6">
        <v>18.0</v>
      </c>
      <c r="C23" s="7" t="s">
        <v>113</v>
      </c>
      <c r="D23" s="8" t="s">
        <v>114</v>
      </c>
      <c r="E23" s="9" t="s">
        <v>18</v>
      </c>
    </row>
    <row r="24">
      <c r="A24" s="5" t="s">
        <v>78</v>
      </c>
      <c r="B24" s="6">
        <v>19.0</v>
      </c>
      <c r="C24" s="7" t="s">
        <v>115</v>
      </c>
      <c r="D24" s="8" t="s">
        <v>116</v>
      </c>
      <c r="E24" s="9" t="s">
        <v>18</v>
      </c>
    </row>
    <row r="25">
      <c r="A25" s="5" t="s">
        <v>78</v>
      </c>
      <c r="B25" s="6">
        <v>20.0</v>
      </c>
      <c r="C25" s="7" t="s">
        <v>117</v>
      </c>
      <c r="D25" s="8" t="s">
        <v>118</v>
      </c>
      <c r="E25" s="9" t="s">
        <v>11</v>
      </c>
    </row>
    <row r="26">
      <c r="A26" s="5" t="s">
        <v>78</v>
      </c>
      <c r="B26" s="6">
        <v>21.0</v>
      </c>
      <c r="C26" s="7" t="s">
        <v>119</v>
      </c>
      <c r="D26" s="8" t="s">
        <v>120</v>
      </c>
      <c r="E26" s="9" t="s">
        <v>18</v>
      </c>
    </row>
    <row r="27">
      <c r="A27" s="5" t="s">
        <v>78</v>
      </c>
      <c r="B27" s="6">
        <v>22.0</v>
      </c>
      <c r="C27" s="7" t="s">
        <v>121</v>
      </c>
      <c r="D27" s="8" t="s">
        <v>122</v>
      </c>
      <c r="E27" s="9" t="s">
        <v>18</v>
      </c>
    </row>
    <row r="28">
      <c r="A28" s="5" t="s">
        <v>78</v>
      </c>
      <c r="B28" s="6">
        <v>23.0</v>
      </c>
      <c r="C28" s="7" t="s">
        <v>123</v>
      </c>
      <c r="D28" s="8" t="s">
        <v>124</v>
      </c>
      <c r="E28" s="9" t="s">
        <v>18</v>
      </c>
    </row>
    <row r="29">
      <c r="A29" s="5" t="s">
        <v>78</v>
      </c>
      <c r="B29" s="6">
        <v>24.0</v>
      </c>
      <c r="C29" s="7" t="s">
        <v>125</v>
      </c>
      <c r="D29" s="8" t="s">
        <v>126</v>
      </c>
      <c r="E29" s="9" t="s">
        <v>18</v>
      </c>
    </row>
    <row r="30">
      <c r="A30" s="5" t="s">
        <v>78</v>
      </c>
      <c r="B30" s="6">
        <v>25.0</v>
      </c>
      <c r="C30" s="7" t="s">
        <v>127</v>
      </c>
      <c r="D30" s="8" t="s">
        <v>128</v>
      </c>
      <c r="E30" s="9" t="s">
        <v>18</v>
      </c>
    </row>
    <row r="31">
      <c r="A31" s="5" t="s">
        <v>78</v>
      </c>
      <c r="B31" s="6">
        <v>26.0</v>
      </c>
      <c r="C31" s="7" t="s">
        <v>129</v>
      </c>
      <c r="D31" s="8" t="s">
        <v>130</v>
      </c>
      <c r="E31" s="9" t="s">
        <v>18</v>
      </c>
    </row>
    <row r="32">
      <c r="A32" s="5" t="s">
        <v>78</v>
      </c>
      <c r="B32" s="6">
        <v>27.0</v>
      </c>
      <c r="C32" s="7" t="s">
        <v>131</v>
      </c>
      <c r="D32" s="8" t="s">
        <v>132</v>
      </c>
      <c r="E32" s="9" t="s">
        <v>11</v>
      </c>
    </row>
    <row r="33">
      <c r="A33" s="5" t="s">
        <v>78</v>
      </c>
      <c r="B33" s="6">
        <v>28.0</v>
      </c>
      <c r="C33" s="7" t="s">
        <v>133</v>
      </c>
      <c r="D33" s="8" t="s">
        <v>134</v>
      </c>
      <c r="E33" s="9" t="s">
        <v>18</v>
      </c>
    </row>
    <row r="34">
      <c r="A34" s="5" t="s">
        <v>78</v>
      </c>
      <c r="B34" s="6">
        <v>29.0</v>
      </c>
      <c r="C34" s="7" t="s">
        <v>135</v>
      </c>
      <c r="D34" s="8" t="s">
        <v>136</v>
      </c>
      <c r="E34" s="9" t="s">
        <v>18</v>
      </c>
    </row>
    <row r="35">
      <c r="A35" s="5" t="s">
        <v>78</v>
      </c>
      <c r="B35" s="6">
        <v>30.0</v>
      </c>
      <c r="C35" s="7" t="s">
        <v>137</v>
      </c>
      <c r="D35" s="8" t="s">
        <v>138</v>
      </c>
      <c r="E35" s="9" t="s">
        <v>18</v>
      </c>
    </row>
    <row r="36">
      <c r="A36" s="5" t="s">
        <v>78</v>
      </c>
      <c r="B36" s="6">
        <v>31.0</v>
      </c>
      <c r="C36" s="7" t="s">
        <v>139</v>
      </c>
      <c r="D36" s="8" t="s">
        <v>140</v>
      </c>
      <c r="E36" s="9" t="s">
        <v>11</v>
      </c>
    </row>
    <row r="37">
      <c r="A37" s="5" t="s">
        <v>78</v>
      </c>
      <c r="B37" s="6">
        <v>32.0</v>
      </c>
      <c r="C37" s="7" t="s">
        <v>141</v>
      </c>
      <c r="D37" s="8" t="s">
        <v>142</v>
      </c>
      <c r="E37" s="9" t="s">
        <v>18</v>
      </c>
    </row>
    <row r="38">
      <c r="A38" s="2"/>
      <c r="B38" s="2"/>
      <c r="C38" s="10"/>
      <c r="D38" s="11" t="s">
        <v>75</v>
      </c>
      <c r="E38" s="6">
        <f>COUNTIF(E6:E37,"L")</f>
        <v>12</v>
      </c>
    </row>
    <row r="39">
      <c r="A39" s="2"/>
      <c r="B39" s="2"/>
      <c r="C39" s="10"/>
      <c r="D39" s="11" t="s">
        <v>76</v>
      </c>
      <c r="E39" s="6">
        <f>COUNTIF(E6:E37,"P")</f>
        <v>20</v>
      </c>
    </row>
    <row r="40">
      <c r="A40" s="2"/>
      <c r="B40" s="2"/>
      <c r="C40" s="12"/>
      <c r="D40" s="11" t="s">
        <v>77</v>
      </c>
      <c r="E40" s="13">
        <f>SUM(E38:E39)</f>
        <v>32</v>
      </c>
    </row>
  </sheetData>
  <mergeCells count="3">
    <mergeCell ref="A1:E1"/>
    <mergeCell ref="A2:E2"/>
    <mergeCell ref="A3:E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4" max="4" width="29.75"/>
    <col customWidth="1" min="5" max="5" width="15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  <c r="B4" s="2"/>
      <c r="C4" s="2"/>
      <c r="D4" s="2"/>
      <c r="E4" s="2"/>
    </row>
    <row r="5" ht="37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>
      <c r="A6" s="14" t="s">
        <v>143</v>
      </c>
      <c r="B6" s="6">
        <v>1.0</v>
      </c>
      <c r="C6" s="7" t="s">
        <v>144</v>
      </c>
      <c r="D6" s="8" t="s">
        <v>145</v>
      </c>
      <c r="E6" s="9" t="s">
        <v>18</v>
      </c>
    </row>
    <row r="7">
      <c r="A7" s="14" t="s">
        <v>143</v>
      </c>
      <c r="B7" s="6">
        <v>2.0</v>
      </c>
      <c r="C7" s="7" t="s">
        <v>146</v>
      </c>
      <c r="D7" s="8" t="s">
        <v>147</v>
      </c>
      <c r="E7" s="9" t="s">
        <v>18</v>
      </c>
    </row>
    <row r="8">
      <c r="A8" s="14" t="s">
        <v>143</v>
      </c>
      <c r="B8" s="6">
        <v>3.0</v>
      </c>
      <c r="C8" s="7" t="s">
        <v>148</v>
      </c>
      <c r="D8" s="8" t="s">
        <v>149</v>
      </c>
      <c r="E8" s="9" t="s">
        <v>11</v>
      </c>
    </row>
    <row r="9">
      <c r="A9" s="14" t="s">
        <v>143</v>
      </c>
      <c r="B9" s="6">
        <v>4.0</v>
      </c>
      <c r="C9" s="7" t="s">
        <v>150</v>
      </c>
      <c r="D9" s="8" t="s">
        <v>151</v>
      </c>
      <c r="E9" s="9" t="s">
        <v>18</v>
      </c>
    </row>
    <row r="10">
      <c r="A10" s="14" t="s">
        <v>143</v>
      </c>
      <c r="B10" s="6">
        <v>5.0</v>
      </c>
      <c r="C10" s="7" t="s">
        <v>152</v>
      </c>
      <c r="D10" s="8" t="s">
        <v>153</v>
      </c>
      <c r="E10" s="9" t="s">
        <v>11</v>
      </c>
    </row>
    <row r="11">
      <c r="A11" s="14" t="s">
        <v>143</v>
      </c>
      <c r="B11" s="6">
        <v>6.0</v>
      </c>
      <c r="C11" s="7" t="s">
        <v>154</v>
      </c>
      <c r="D11" s="8" t="s">
        <v>155</v>
      </c>
      <c r="E11" s="9" t="s">
        <v>11</v>
      </c>
    </row>
    <row r="12">
      <c r="A12" s="14" t="s">
        <v>143</v>
      </c>
      <c r="B12" s="6">
        <v>7.0</v>
      </c>
      <c r="C12" s="7" t="s">
        <v>156</v>
      </c>
      <c r="D12" s="8" t="s">
        <v>157</v>
      </c>
      <c r="E12" s="9" t="s">
        <v>18</v>
      </c>
    </row>
    <row r="13">
      <c r="A13" s="14" t="s">
        <v>143</v>
      </c>
      <c r="B13" s="6">
        <v>8.0</v>
      </c>
      <c r="C13" s="7" t="s">
        <v>158</v>
      </c>
      <c r="D13" s="8" t="s">
        <v>159</v>
      </c>
      <c r="E13" s="9" t="s">
        <v>11</v>
      </c>
    </row>
    <row r="14">
      <c r="A14" s="14" t="s">
        <v>143</v>
      </c>
      <c r="B14" s="6">
        <v>9.0</v>
      </c>
      <c r="C14" s="7" t="s">
        <v>160</v>
      </c>
      <c r="D14" s="8" t="s">
        <v>161</v>
      </c>
      <c r="E14" s="9" t="s">
        <v>18</v>
      </c>
    </row>
    <row r="15">
      <c r="A15" s="14" t="s">
        <v>143</v>
      </c>
      <c r="B15" s="6">
        <v>10.0</v>
      </c>
      <c r="C15" s="7" t="s">
        <v>162</v>
      </c>
      <c r="D15" s="8" t="s">
        <v>163</v>
      </c>
      <c r="E15" s="9" t="s">
        <v>18</v>
      </c>
    </row>
    <row r="16">
      <c r="A16" s="14" t="s">
        <v>143</v>
      </c>
      <c r="B16" s="6">
        <v>11.0</v>
      </c>
      <c r="C16" s="7" t="s">
        <v>164</v>
      </c>
      <c r="D16" s="8" t="s">
        <v>165</v>
      </c>
      <c r="E16" s="9" t="s">
        <v>18</v>
      </c>
    </row>
    <row r="17">
      <c r="A17" s="14" t="s">
        <v>143</v>
      </c>
      <c r="B17" s="6">
        <v>12.0</v>
      </c>
      <c r="C17" s="7" t="s">
        <v>166</v>
      </c>
      <c r="D17" s="8" t="s">
        <v>167</v>
      </c>
      <c r="E17" s="9" t="s">
        <v>18</v>
      </c>
    </row>
    <row r="18">
      <c r="A18" s="14" t="s">
        <v>143</v>
      </c>
      <c r="B18" s="6">
        <v>13.0</v>
      </c>
      <c r="C18" s="7" t="s">
        <v>168</v>
      </c>
      <c r="D18" s="8" t="s">
        <v>169</v>
      </c>
      <c r="E18" s="9" t="s">
        <v>11</v>
      </c>
    </row>
    <row r="19">
      <c r="A19" s="14" t="s">
        <v>143</v>
      </c>
      <c r="B19" s="6">
        <v>14.0</v>
      </c>
      <c r="C19" s="7" t="s">
        <v>170</v>
      </c>
      <c r="D19" s="8" t="s">
        <v>171</v>
      </c>
      <c r="E19" s="9" t="s">
        <v>18</v>
      </c>
    </row>
    <row r="20">
      <c r="A20" s="14" t="s">
        <v>143</v>
      </c>
      <c r="B20" s="6">
        <v>15.0</v>
      </c>
      <c r="C20" s="7" t="s">
        <v>172</v>
      </c>
      <c r="D20" s="8" t="s">
        <v>173</v>
      </c>
      <c r="E20" s="9" t="s">
        <v>18</v>
      </c>
    </row>
    <row r="21">
      <c r="A21" s="14" t="s">
        <v>143</v>
      </c>
      <c r="B21" s="6">
        <v>16.0</v>
      </c>
      <c r="C21" s="7" t="s">
        <v>174</v>
      </c>
      <c r="D21" s="8" t="s">
        <v>175</v>
      </c>
      <c r="E21" s="9" t="s">
        <v>11</v>
      </c>
    </row>
    <row r="22">
      <c r="A22" s="14" t="s">
        <v>143</v>
      </c>
      <c r="B22" s="6">
        <v>17.0</v>
      </c>
      <c r="C22" s="7" t="s">
        <v>176</v>
      </c>
      <c r="D22" s="8" t="s">
        <v>177</v>
      </c>
      <c r="E22" s="9" t="s">
        <v>11</v>
      </c>
    </row>
    <row r="23">
      <c r="A23" s="14" t="s">
        <v>143</v>
      </c>
      <c r="B23" s="6">
        <v>18.0</v>
      </c>
      <c r="C23" s="7" t="s">
        <v>178</v>
      </c>
      <c r="D23" s="8" t="s">
        <v>179</v>
      </c>
      <c r="E23" s="9" t="s">
        <v>11</v>
      </c>
    </row>
    <row r="24">
      <c r="A24" s="14" t="s">
        <v>143</v>
      </c>
      <c r="B24" s="6">
        <v>19.0</v>
      </c>
      <c r="C24" s="7" t="s">
        <v>180</v>
      </c>
      <c r="D24" s="8" t="s">
        <v>181</v>
      </c>
      <c r="E24" s="9" t="s">
        <v>18</v>
      </c>
    </row>
    <row r="25">
      <c r="A25" s="14" t="s">
        <v>143</v>
      </c>
      <c r="B25" s="6">
        <v>20.0</v>
      </c>
      <c r="C25" s="7" t="s">
        <v>182</v>
      </c>
      <c r="D25" s="8" t="s">
        <v>183</v>
      </c>
      <c r="E25" s="9" t="s">
        <v>11</v>
      </c>
    </row>
    <row r="26">
      <c r="A26" s="14" t="s">
        <v>143</v>
      </c>
      <c r="B26" s="6">
        <v>21.0</v>
      </c>
      <c r="C26" s="7" t="s">
        <v>184</v>
      </c>
      <c r="D26" s="8" t="s">
        <v>185</v>
      </c>
      <c r="E26" s="9" t="s">
        <v>18</v>
      </c>
    </row>
    <row r="27">
      <c r="A27" s="14" t="s">
        <v>143</v>
      </c>
      <c r="B27" s="6">
        <v>22.0</v>
      </c>
      <c r="C27" s="7" t="s">
        <v>186</v>
      </c>
      <c r="D27" s="8" t="s">
        <v>187</v>
      </c>
      <c r="E27" s="9" t="s">
        <v>11</v>
      </c>
    </row>
    <row r="28">
      <c r="A28" s="14" t="s">
        <v>143</v>
      </c>
      <c r="B28" s="6">
        <v>23.0</v>
      </c>
      <c r="C28" s="7" t="s">
        <v>188</v>
      </c>
      <c r="D28" s="8" t="s">
        <v>189</v>
      </c>
      <c r="E28" s="9" t="s">
        <v>11</v>
      </c>
    </row>
    <row r="29">
      <c r="A29" s="14" t="s">
        <v>143</v>
      </c>
      <c r="B29" s="6">
        <v>24.0</v>
      </c>
      <c r="C29" s="7" t="s">
        <v>190</v>
      </c>
      <c r="D29" s="8" t="s">
        <v>191</v>
      </c>
      <c r="E29" s="9" t="s">
        <v>11</v>
      </c>
    </row>
    <row r="30">
      <c r="A30" s="14" t="s">
        <v>143</v>
      </c>
      <c r="B30" s="6">
        <v>25.0</v>
      </c>
      <c r="C30" s="7" t="s">
        <v>192</v>
      </c>
      <c r="D30" s="8" t="s">
        <v>193</v>
      </c>
      <c r="E30" s="9" t="s">
        <v>18</v>
      </c>
    </row>
    <row r="31">
      <c r="A31" s="14" t="s">
        <v>143</v>
      </c>
      <c r="B31" s="6">
        <v>26.0</v>
      </c>
      <c r="C31" s="7" t="s">
        <v>194</v>
      </c>
      <c r="D31" s="8" t="s">
        <v>195</v>
      </c>
      <c r="E31" s="9" t="s">
        <v>11</v>
      </c>
    </row>
    <row r="32">
      <c r="A32" s="14" t="s">
        <v>143</v>
      </c>
      <c r="B32" s="6">
        <v>27.0</v>
      </c>
      <c r="C32" s="7" t="s">
        <v>196</v>
      </c>
      <c r="D32" s="8" t="s">
        <v>197</v>
      </c>
      <c r="E32" s="9" t="s">
        <v>11</v>
      </c>
    </row>
    <row r="33">
      <c r="A33" s="14" t="s">
        <v>143</v>
      </c>
      <c r="B33" s="6">
        <v>28.0</v>
      </c>
      <c r="C33" s="7" t="s">
        <v>198</v>
      </c>
      <c r="D33" s="8" t="s">
        <v>199</v>
      </c>
      <c r="E33" s="9" t="s">
        <v>18</v>
      </c>
    </row>
    <row r="34">
      <c r="A34" s="14" t="s">
        <v>143</v>
      </c>
      <c r="B34" s="6">
        <v>29.0</v>
      </c>
      <c r="C34" s="7" t="s">
        <v>200</v>
      </c>
      <c r="D34" s="8" t="s">
        <v>201</v>
      </c>
      <c r="E34" s="9" t="s">
        <v>18</v>
      </c>
    </row>
    <row r="35">
      <c r="A35" s="14" t="s">
        <v>143</v>
      </c>
      <c r="B35" s="6">
        <v>30.0</v>
      </c>
      <c r="C35" s="7" t="s">
        <v>202</v>
      </c>
      <c r="D35" s="8" t="s">
        <v>203</v>
      </c>
      <c r="E35" s="9" t="s">
        <v>18</v>
      </c>
    </row>
    <row r="36">
      <c r="A36" s="14" t="s">
        <v>143</v>
      </c>
      <c r="B36" s="6">
        <v>31.0</v>
      </c>
      <c r="C36" s="7" t="s">
        <v>204</v>
      </c>
      <c r="D36" s="8" t="s">
        <v>205</v>
      </c>
      <c r="E36" s="9" t="s">
        <v>18</v>
      </c>
    </row>
    <row r="37">
      <c r="A37" s="14" t="s">
        <v>143</v>
      </c>
      <c r="B37" s="6">
        <v>32.0</v>
      </c>
      <c r="C37" s="7" t="s">
        <v>206</v>
      </c>
      <c r="D37" s="8" t="s">
        <v>207</v>
      </c>
      <c r="E37" s="9" t="s">
        <v>18</v>
      </c>
    </row>
    <row r="38">
      <c r="A38" s="2"/>
      <c r="B38" s="2"/>
      <c r="C38" s="10"/>
      <c r="D38" s="11" t="s">
        <v>75</v>
      </c>
      <c r="E38" s="6">
        <f>COUNTIF(E6:E37,"L")</f>
        <v>14</v>
      </c>
    </row>
    <row r="39">
      <c r="A39" s="2"/>
      <c r="B39" s="2"/>
      <c r="C39" s="10"/>
      <c r="D39" s="11" t="s">
        <v>76</v>
      </c>
      <c r="E39" s="6">
        <f>COUNTIF(E6:E37,"P")</f>
        <v>18</v>
      </c>
    </row>
    <row r="40">
      <c r="A40" s="2"/>
      <c r="B40" s="2"/>
      <c r="C40" s="12"/>
      <c r="D40" s="11" t="s">
        <v>77</v>
      </c>
      <c r="E40" s="13">
        <f>SUM(E38:E39)</f>
        <v>32</v>
      </c>
    </row>
  </sheetData>
  <mergeCells count="3">
    <mergeCell ref="A1:E1"/>
    <mergeCell ref="A2:E2"/>
    <mergeCell ref="A3:E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4" max="4" width="29.75"/>
    <col customWidth="1" min="5" max="5" width="15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  <c r="B4" s="2"/>
      <c r="C4" s="2"/>
      <c r="D4" s="2"/>
      <c r="E4" s="2"/>
    </row>
    <row r="5" ht="37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>
      <c r="A6" s="14" t="s">
        <v>208</v>
      </c>
      <c r="B6" s="6">
        <v>1.0</v>
      </c>
      <c r="C6" s="7" t="s">
        <v>209</v>
      </c>
      <c r="D6" s="8" t="s">
        <v>210</v>
      </c>
      <c r="E6" s="9" t="s">
        <v>18</v>
      </c>
    </row>
    <row r="7">
      <c r="A7" s="14" t="s">
        <v>208</v>
      </c>
      <c r="B7" s="6">
        <v>2.0</v>
      </c>
      <c r="C7" s="7" t="s">
        <v>211</v>
      </c>
      <c r="D7" s="8" t="s">
        <v>212</v>
      </c>
      <c r="E7" s="9" t="s">
        <v>18</v>
      </c>
    </row>
    <row r="8">
      <c r="A8" s="14" t="s">
        <v>208</v>
      </c>
      <c r="B8" s="6">
        <v>3.0</v>
      </c>
      <c r="C8" s="7" t="s">
        <v>213</v>
      </c>
      <c r="D8" s="8" t="s">
        <v>214</v>
      </c>
      <c r="E8" s="9" t="s">
        <v>11</v>
      </c>
    </row>
    <row r="9">
      <c r="A9" s="14" t="s">
        <v>208</v>
      </c>
      <c r="B9" s="6">
        <v>4.0</v>
      </c>
      <c r="C9" s="7" t="s">
        <v>215</v>
      </c>
      <c r="D9" s="8" t="s">
        <v>216</v>
      </c>
      <c r="E9" s="9" t="s">
        <v>18</v>
      </c>
    </row>
    <row r="10">
      <c r="A10" s="14" t="s">
        <v>208</v>
      </c>
      <c r="B10" s="6">
        <v>5.0</v>
      </c>
      <c r="C10" s="7" t="s">
        <v>217</v>
      </c>
      <c r="D10" s="8" t="s">
        <v>218</v>
      </c>
      <c r="E10" s="9" t="s">
        <v>11</v>
      </c>
    </row>
    <row r="11">
      <c r="A11" s="14" t="s">
        <v>208</v>
      </c>
      <c r="B11" s="6">
        <v>6.0</v>
      </c>
      <c r="C11" s="7" t="s">
        <v>219</v>
      </c>
      <c r="D11" s="8" t="s">
        <v>220</v>
      </c>
      <c r="E11" s="9" t="s">
        <v>11</v>
      </c>
    </row>
    <row r="12">
      <c r="A12" s="14" t="s">
        <v>208</v>
      </c>
      <c r="B12" s="6">
        <v>7.0</v>
      </c>
      <c r="C12" s="7" t="s">
        <v>221</v>
      </c>
      <c r="D12" s="8" t="s">
        <v>222</v>
      </c>
      <c r="E12" s="9" t="s">
        <v>11</v>
      </c>
    </row>
    <row r="13">
      <c r="A13" s="14" t="s">
        <v>208</v>
      </c>
      <c r="B13" s="6">
        <v>8.0</v>
      </c>
      <c r="C13" s="7" t="s">
        <v>223</v>
      </c>
      <c r="D13" s="8" t="s">
        <v>224</v>
      </c>
      <c r="E13" s="9" t="s">
        <v>18</v>
      </c>
    </row>
    <row r="14">
      <c r="A14" s="14" t="s">
        <v>208</v>
      </c>
      <c r="B14" s="6">
        <v>9.0</v>
      </c>
      <c r="C14" s="7" t="s">
        <v>225</v>
      </c>
      <c r="D14" s="8" t="s">
        <v>226</v>
      </c>
      <c r="E14" s="9" t="s">
        <v>18</v>
      </c>
    </row>
    <row r="15">
      <c r="A15" s="14" t="s">
        <v>208</v>
      </c>
      <c r="B15" s="6">
        <v>10.0</v>
      </c>
      <c r="C15" s="7" t="s">
        <v>227</v>
      </c>
      <c r="D15" s="8" t="s">
        <v>228</v>
      </c>
      <c r="E15" s="9" t="s">
        <v>18</v>
      </c>
    </row>
    <row r="16">
      <c r="A16" s="14" t="s">
        <v>208</v>
      </c>
      <c r="B16" s="6">
        <v>11.0</v>
      </c>
      <c r="C16" s="7" t="s">
        <v>229</v>
      </c>
      <c r="D16" s="8" t="s">
        <v>230</v>
      </c>
      <c r="E16" s="9" t="s">
        <v>11</v>
      </c>
    </row>
    <row r="17">
      <c r="A17" s="14" t="s">
        <v>208</v>
      </c>
      <c r="B17" s="6">
        <v>12.0</v>
      </c>
      <c r="C17" s="7" t="s">
        <v>231</v>
      </c>
      <c r="D17" s="8" t="s">
        <v>232</v>
      </c>
      <c r="E17" s="9" t="s">
        <v>18</v>
      </c>
    </row>
    <row r="18">
      <c r="A18" s="14" t="s">
        <v>208</v>
      </c>
      <c r="B18" s="6">
        <v>13.0</v>
      </c>
      <c r="C18" s="7" t="s">
        <v>233</v>
      </c>
      <c r="D18" s="8" t="s">
        <v>234</v>
      </c>
      <c r="E18" s="9" t="s">
        <v>11</v>
      </c>
    </row>
    <row r="19">
      <c r="A19" s="14" t="s">
        <v>208</v>
      </c>
      <c r="B19" s="6">
        <v>14.0</v>
      </c>
      <c r="C19" s="7" t="s">
        <v>235</v>
      </c>
      <c r="D19" s="8" t="s">
        <v>236</v>
      </c>
      <c r="E19" s="9" t="s">
        <v>18</v>
      </c>
    </row>
    <row r="20">
      <c r="A20" s="14" t="s">
        <v>208</v>
      </c>
      <c r="B20" s="6">
        <v>15.0</v>
      </c>
      <c r="C20" s="7" t="s">
        <v>237</v>
      </c>
      <c r="D20" s="8" t="s">
        <v>238</v>
      </c>
      <c r="E20" s="9" t="s">
        <v>18</v>
      </c>
    </row>
    <row r="21">
      <c r="A21" s="14" t="s">
        <v>208</v>
      </c>
      <c r="B21" s="6">
        <v>16.0</v>
      </c>
      <c r="C21" s="7" t="s">
        <v>239</v>
      </c>
      <c r="D21" s="8" t="s">
        <v>240</v>
      </c>
      <c r="E21" s="9" t="s">
        <v>11</v>
      </c>
    </row>
    <row r="22">
      <c r="A22" s="14" t="s">
        <v>208</v>
      </c>
      <c r="B22" s="6">
        <v>17.0</v>
      </c>
      <c r="C22" s="7" t="s">
        <v>241</v>
      </c>
      <c r="D22" s="8" t="s">
        <v>242</v>
      </c>
      <c r="E22" s="9" t="s">
        <v>11</v>
      </c>
    </row>
    <row r="23">
      <c r="A23" s="14" t="s">
        <v>208</v>
      </c>
      <c r="B23" s="6">
        <v>18.0</v>
      </c>
      <c r="C23" s="7" t="s">
        <v>243</v>
      </c>
      <c r="D23" s="8" t="s">
        <v>244</v>
      </c>
      <c r="E23" s="9" t="s">
        <v>18</v>
      </c>
    </row>
    <row r="24">
      <c r="A24" s="14" t="s">
        <v>208</v>
      </c>
      <c r="B24" s="6">
        <v>19.0</v>
      </c>
      <c r="C24" s="7" t="s">
        <v>245</v>
      </c>
      <c r="D24" s="8" t="s">
        <v>246</v>
      </c>
      <c r="E24" s="9" t="s">
        <v>18</v>
      </c>
    </row>
    <row r="25">
      <c r="A25" s="14" t="s">
        <v>208</v>
      </c>
      <c r="B25" s="6">
        <v>20.0</v>
      </c>
      <c r="C25" s="7" t="s">
        <v>247</v>
      </c>
      <c r="D25" s="8" t="s">
        <v>248</v>
      </c>
      <c r="E25" s="9" t="s">
        <v>18</v>
      </c>
    </row>
    <row r="26">
      <c r="A26" s="14" t="s">
        <v>208</v>
      </c>
      <c r="B26" s="6">
        <v>21.0</v>
      </c>
      <c r="C26" s="7" t="s">
        <v>249</v>
      </c>
      <c r="D26" s="8" t="s">
        <v>250</v>
      </c>
      <c r="E26" s="9" t="s">
        <v>18</v>
      </c>
    </row>
    <row r="27">
      <c r="A27" s="14" t="s">
        <v>208</v>
      </c>
      <c r="B27" s="6">
        <v>22.0</v>
      </c>
      <c r="C27" s="7" t="s">
        <v>251</v>
      </c>
      <c r="D27" s="8" t="s">
        <v>252</v>
      </c>
      <c r="E27" s="9" t="s">
        <v>18</v>
      </c>
    </row>
    <row r="28">
      <c r="A28" s="14" t="s">
        <v>208</v>
      </c>
      <c r="B28" s="6">
        <v>23.0</v>
      </c>
      <c r="C28" s="7" t="s">
        <v>253</v>
      </c>
      <c r="D28" s="8" t="s">
        <v>254</v>
      </c>
      <c r="E28" s="9" t="s">
        <v>11</v>
      </c>
    </row>
    <row r="29">
      <c r="A29" s="14" t="s">
        <v>208</v>
      </c>
      <c r="B29" s="6">
        <v>24.0</v>
      </c>
      <c r="C29" s="7" t="s">
        <v>255</v>
      </c>
      <c r="D29" s="8" t="s">
        <v>256</v>
      </c>
      <c r="E29" s="9" t="s">
        <v>18</v>
      </c>
    </row>
    <row r="30">
      <c r="A30" s="14" t="s">
        <v>208</v>
      </c>
      <c r="B30" s="6">
        <v>25.0</v>
      </c>
      <c r="C30" s="7" t="s">
        <v>257</v>
      </c>
      <c r="D30" s="8" t="s">
        <v>258</v>
      </c>
      <c r="E30" s="9" t="s">
        <v>11</v>
      </c>
    </row>
    <row r="31">
      <c r="A31" s="14" t="s">
        <v>208</v>
      </c>
      <c r="B31" s="6">
        <v>26.0</v>
      </c>
      <c r="C31" s="7" t="s">
        <v>259</v>
      </c>
      <c r="D31" s="8" t="s">
        <v>260</v>
      </c>
      <c r="E31" s="9" t="s">
        <v>18</v>
      </c>
    </row>
    <row r="32">
      <c r="A32" s="14" t="s">
        <v>208</v>
      </c>
      <c r="B32" s="6">
        <v>27.0</v>
      </c>
      <c r="C32" s="7" t="s">
        <v>261</v>
      </c>
      <c r="D32" s="8" t="s">
        <v>262</v>
      </c>
      <c r="E32" s="9" t="s">
        <v>18</v>
      </c>
    </row>
    <row r="33">
      <c r="A33" s="14" t="s">
        <v>208</v>
      </c>
      <c r="B33" s="6">
        <v>28.0</v>
      </c>
      <c r="C33" s="7" t="s">
        <v>263</v>
      </c>
      <c r="D33" s="8" t="s">
        <v>264</v>
      </c>
      <c r="E33" s="9" t="s">
        <v>18</v>
      </c>
    </row>
    <row r="34">
      <c r="A34" s="14" t="s">
        <v>208</v>
      </c>
      <c r="B34" s="6">
        <v>29.0</v>
      </c>
      <c r="C34" s="7" t="s">
        <v>265</v>
      </c>
      <c r="D34" s="8" t="s">
        <v>266</v>
      </c>
      <c r="E34" s="9" t="s">
        <v>11</v>
      </c>
    </row>
    <row r="35">
      <c r="A35" s="14" t="s">
        <v>208</v>
      </c>
      <c r="B35" s="6">
        <v>30.0</v>
      </c>
      <c r="C35" s="7" t="s">
        <v>267</v>
      </c>
      <c r="D35" s="8" t="s">
        <v>268</v>
      </c>
      <c r="E35" s="9" t="s">
        <v>18</v>
      </c>
    </row>
    <row r="36">
      <c r="A36" s="14" t="s">
        <v>208</v>
      </c>
      <c r="B36" s="6">
        <v>31.0</v>
      </c>
      <c r="C36" s="7" t="s">
        <v>269</v>
      </c>
      <c r="D36" s="8" t="s">
        <v>270</v>
      </c>
      <c r="E36" s="9" t="s">
        <v>11</v>
      </c>
    </row>
    <row r="37">
      <c r="A37" s="14" t="s">
        <v>208</v>
      </c>
      <c r="B37" s="6">
        <v>32.0</v>
      </c>
      <c r="C37" s="7" t="s">
        <v>271</v>
      </c>
      <c r="D37" s="8" t="s">
        <v>272</v>
      </c>
      <c r="E37" s="9" t="s">
        <v>18</v>
      </c>
    </row>
    <row r="38">
      <c r="A38" s="2"/>
      <c r="B38" s="2"/>
      <c r="C38" s="10"/>
      <c r="D38" s="11" t="s">
        <v>75</v>
      </c>
      <c r="E38" s="6">
        <f>COUNTIF(E6:E37,"L")</f>
        <v>12</v>
      </c>
    </row>
    <row r="39">
      <c r="A39" s="2"/>
      <c r="B39" s="2"/>
      <c r="C39" s="10"/>
      <c r="D39" s="11" t="s">
        <v>76</v>
      </c>
      <c r="E39" s="6">
        <f>COUNTIF(E6:E37,"P")</f>
        <v>20</v>
      </c>
    </row>
    <row r="40">
      <c r="A40" s="2"/>
      <c r="B40" s="2"/>
      <c r="C40" s="12"/>
      <c r="D40" s="11" t="s">
        <v>77</v>
      </c>
      <c r="E40" s="13">
        <f>SUM(E38:E39)</f>
        <v>32</v>
      </c>
    </row>
  </sheetData>
  <mergeCells count="3">
    <mergeCell ref="A1:E1"/>
    <mergeCell ref="A2:E2"/>
    <mergeCell ref="A3: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4" max="4" width="29.75"/>
    <col customWidth="1" min="5" max="5" width="15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  <c r="B4" s="2"/>
      <c r="C4" s="2"/>
      <c r="D4" s="2"/>
      <c r="E4" s="2"/>
    </row>
    <row r="5" ht="37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>
      <c r="A6" s="14" t="s">
        <v>273</v>
      </c>
      <c r="B6" s="6">
        <v>1.0</v>
      </c>
      <c r="C6" s="7" t="s">
        <v>274</v>
      </c>
      <c r="D6" s="15" t="s">
        <v>275</v>
      </c>
      <c r="E6" s="9" t="s">
        <v>11</v>
      </c>
    </row>
    <row r="7">
      <c r="A7" s="14" t="s">
        <v>273</v>
      </c>
      <c r="B7" s="6">
        <v>2.0</v>
      </c>
      <c r="C7" s="7" t="s">
        <v>276</v>
      </c>
      <c r="D7" s="15" t="s">
        <v>277</v>
      </c>
      <c r="E7" s="9" t="s">
        <v>11</v>
      </c>
    </row>
    <row r="8">
      <c r="A8" s="14" t="s">
        <v>273</v>
      </c>
      <c r="B8" s="6">
        <v>3.0</v>
      </c>
      <c r="C8" s="7" t="s">
        <v>278</v>
      </c>
      <c r="D8" s="15" t="s">
        <v>279</v>
      </c>
      <c r="E8" s="9" t="s">
        <v>11</v>
      </c>
    </row>
    <row r="9">
      <c r="A9" s="14" t="s">
        <v>273</v>
      </c>
      <c r="B9" s="6">
        <v>4.0</v>
      </c>
      <c r="C9" s="7" t="s">
        <v>280</v>
      </c>
      <c r="D9" s="15" t="s">
        <v>281</v>
      </c>
      <c r="E9" s="9" t="s">
        <v>11</v>
      </c>
    </row>
    <row r="10">
      <c r="A10" s="14" t="s">
        <v>273</v>
      </c>
      <c r="B10" s="6">
        <v>5.0</v>
      </c>
      <c r="C10" s="7" t="s">
        <v>282</v>
      </c>
      <c r="D10" s="15" t="s">
        <v>283</v>
      </c>
      <c r="E10" s="9" t="s">
        <v>11</v>
      </c>
    </row>
    <row r="11">
      <c r="A11" s="14" t="s">
        <v>273</v>
      </c>
      <c r="B11" s="6">
        <v>6.0</v>
      </c>
      <c r="C11" s="7" t="s">
        <v>284</v>
      </c>
      <c r="D11" s="15" t="s">
        <v>285</v>
      </c>
      <c r="E11" s="9" t="s">
        <v>11</v>
      </c>
    </row>
    <row r="12">
      <c r="A12" s="14" t="s">
        <v>273</v>
      </c>
      <c r="B12" s="6">
        <v>7.0</v>
      </c>
      <c r="C12" s="7" t="s">
        <v>286</v>
      </c>
      <c r="D12" s="15" t="s">
        <v>287</v>
      </c>
      <c r="E12" s="9" t="s">
        <v>18</v>
      </c>
    </row>
    <row r="13">
      <c r="A13" s="14" t="s">
        <v>273</v>
      </c>
      <c r="B13" s="6">
        <v>8.0</v>
      </c>
      <c r="C13" s="7" t="s">
        <v>288</v>
      </c>
      <c r="D13" s="15" t="s">
        <v>289</v>
      </c>
      <c r="E13" s="9" t="s">
        <v>18</v>
      </c>
    </row>
    <row r="14">
      <c r="A14" s="14" t="s">
        <v>273</v>
      </c>
      <c r="B14" s="6">
        <v>9.0</v>
      </c>
      <c r="C14" s="7" t="s">
        <v>290</v>
      </c>
      <c r="D14" s="15" t="s">
        <v>291</v>
      </c>
      <c r="E14" s="9" t="s">
        <v>18</v>
      </c>
    </row>
    <row r="15">
      <c r="A15" s="14" t="s">
        <v>273</v>
      </c>
      <c r="B15" s="6">
        <v>10.0</v>
      </c>
      <c r="C15" s="7" t="s">
        <v>292</v>
      </c>
      <c r="D15" s="15" t="s">
        <v>293</v>
      </c>
      <c r="E15" s="9" t="s">
        <v>18</v>
      </c>
    </row>
    <row r="16">
      <c r="A16" s="14" t="s">
        <v>273</v>
      </c>
      <c r="B16" s="6">
        <v>11.0</v>
      </c>
      <c r="C16" s="7" t="s">
        <v>294</v>
      </c>
      <c r="D16" s="15" t="s">
        <v>295</v>
      </c>
      <c r="E16" s="9" t="s">
        <v>18</v>
      </c>
    </row>
    <row r="17">
      <c r="A17" s="14" t="s">
        <v>273</v>
      </c>
      <c r="B17" s="6">
        <v>12.0</v>
      </c>
      <c r="C17" s="7" t="s">
        <v>296</v>
      </c>
      <c r="D17" s="15" t="s">
        <v>297</v>
      </c>
      <c r="E17" s="9" t="s">
        <v>18</v>
      </c>
    </row>
    <row r="18">
      <c r="A18" s="14" t="s">
        <v>273</v>
      </c>
      <c r="B18" s="6">
        <v>13.0</v>
      </c>
      <c r="C18" s="7" t="s">
        <v>298</v>
      </c>
      <c r="D18" s="15" t="s">
        <v>299</v>
      </c>
      <c r="E18" s="9" t="s">
        <v>11</v>
      </c>
    </row>
    <row r="19">
      <c r="A19" s="14" t="s">
        <v>273</v>
      </c>
      <c r="B19" s="6">
        <v>14.0</v>
      </c>
      <c r="C19" s="7" t="s">
        <v>300</v>
      </c>
      <c r="D19" s="15" t="s">
        <v>301</v>
      </c>
      <c r="E19" s="9" t="s">
        <v>11</v>
      </c>
    </row>
    <row r="20">
      <c r="A20" s="14" t="s">
        <v>273</v>
      </c>
      <c r="B20" s="6">
        <v>15.0</v>
      </c>
      <c r="C20" s="7" t="s">
        <v>302</v>
      </c>
      <c r="D20" s="15" t="s">
        <v>303</v>
      </c>
      <c r="E20" s="9" t="s">
        <v>18</v>
      </c>
    </row>
    <row r="21">
      <c r="A21" s="14" t="s">
        <v>273</v>
      </c>
      <c r="B21" s="6">
        <v>16.0</v>
      </c>
      <c r="C21" s="7" t="s">
        <v>304</v>
      </c>
      <c r="D21" s="15" t="s">
        <v>305</v>
      </c>
      <c r="E21" s="9" t="s">
        <v>18</v>
      </c>
    </row>
    <row r="22">
      <c r="A22" s="14" t="s">
        <v>273</v>
      </c>
      <c r="B22" s="6">
        <v>17.0</v>
      </c>
      <c r="C22" s="7" t="s">
        <v>306</v>
      </c>
      <c r="D22" s="15" t="s">
        <v>307</v>
      </c>
      <c r="E22" s="9" t="s">
        <v>11</v>
      </c>
    </row>
    <row r="23">
      <c r="A23" s="14" t="s">
        <v>273</v>
      </c>
      <c r="B23" s="6">
        <v>18.0</v>
      </c>
      <c r="C23" s="7" t="s">
        <v>308</v>
      </c>
      <c r="D23" s="15" t="s">
        <v>309</v>
      </c>
      <c r="E23" s="9" t="s">
        <v>11</v>
      </c>
    </row>
    <row r="24">
      <c r="A24" s="14" t="s">
        <v>273</v>
      </c>
      <c r="B24" s="6">
        <v>19.0</v>
      </c>
      <c r="C24" s="7" t="s">
        <v>310</v>
      </c>
      <c r="D24" s="15" t="s">
        <v>311</v>
      </c>
      <c r="E24" s="9" t="s">
        <v>18</v>
      </c>
    </row>
    <row r="25">
      <c r="A25" s="14" t="s">
        <v>273</v>
      </c>
      <c r="B25" s="6">
        <v>20.0</v>
      </c>
      <c r="C25" s="7" t="s">
        <v>312</v>
      </c>
      <c r="D25" s="15" t="s">
        <v>313</v>
      </c>
      <c r="E25" s="9" t="s">
        <v>11</v>
      </c>
    </row>
    <row r="26">
      <c r="A26" s="14" t="s">
        <v>273</v>
      </c>
      <c r="B26" s="6">
        <v>21.0</v>
      </c>
      <c r="C26" s="7" t="s">
        <v>314</v>
      </c>
      <c r="D26" s="15" t="s">
        <v>315</v>
      </c>
      <c r="E26" s="9" t="s">
        <v>18</v>
      </c>
    </row>
    <row r="27">
      <c r="A27" s="14" t="s">
        <v>273</v>
      </c>
      <c r="B27" s="6">
        <v>22.0</v>
      </c>
      <c r="C27" s="7" t="s">
        <v>316</v>
      </c>
      <c r="D27" s="15" t="s">
        <v>317</v>
      </c>
      <c r="E27" s="9" t="s">
        <v>18</v>
      </c>
    </row>
    <row r="28">
      <c r="A28" s="14" t="s">
        <v>273</v>
      </c>
      <c r="B28" s="6">
        <v>23.0</v>
      </c>
      <c r="C28" s="7" t="s">
        <v>318</v>
      </c>
      <c r="D28" s="15" t="s">
        <v>319</v>
      </c>
      <c r="E28" s="9" t="s">
        <v>18</v>
      </c>
    </row>
    <row r="29">
      <c r="A29" s="14" t="s">
        <v>273</v>
      </c>
      <c r="B29" s="6">
        <v>24.0</v>
      </c>
      <c r="C29" s="7" t="s">
        <v>320</v>
      </c>
      <c r="D29" s="15" t="s">
        <v>321</v>
      </c>
      <c r="E29" s="9" t="s">
        <v>11</v>
      </c>
    </row>
    <row r="30">
      <c r="A30" s="14" t="s">
        <v>273</v>
      </c>
      <c r="B30" s="6">
        <v>25.0</v>
      </c>
      <c r="C30" s="7" t="s">
        <v>322</v>
      </c>
      <c r="D30" s="15" t="s">
        <v>323</v>
      </c>
      <c r="E30" s="9" t="s">
        <v>18</v>
      </c>
    </row>
    <row r="31">
      <c r="A31" s="14" t="s">
        <v>273</v>
      </c>
      <c r="B31" s="6">
        <v>26.0</v>
      </c>
      <c r="C31" s="7" t="s">
        <v>324</v>
      </c>
      <c r="D31" s="15" t="s">
        <v>325</v>
      </c>
      <c r="E31" s="9" t="s">
        <v>18</v>
      </c>
    </row>
    <row r="32">
      <c r="A32" s="14" t="s">
        <v>273</v>
      </c>
      <c r="B32" s="6">
        <v>27.0</v>
      </c>
      <c r="C32" s="7" t="s">
        <v>326</v>
      </c>
      <c r="D32" s="15" t="s">
        <v>327</v>
      </c>
      <c r="E32" s="9" t="s">
        <v>18</v>
      </c>
    </row>
    <row r="33">
      <c r="A33" s="14" t="s">
        <v>273</v>
      </c>
      <c r="B33" s="6">
        <v>28.0</v>
      </c>
      <c r="C33" s="7" t="s">
        <v>328</v>
      </c>
      <c r="D33" s="15" t="s">
        <v>329</v>
      </c>
      <c r="E33" s="9" t="s">
        <v>18</v>
      </c>
    </row>
    <row r="34">
      <c r="A34" s="14" t="s">
        <v>273</v>
      </c>
      <c r="B34" s="6">
        <v>29.0</v>
      </c>
      <c r="C34" s="7" t="s">
        <v>330</v>
      </c>
      <c r="D34" s="15" t="s">
        <v>331</v>
      </c>
      <c r="E34" s="9" t="s">
        <v>18</v>
      </c>
    </row>
    <row r="35">
      <c r="A35" s="14" t="s">
        <v>273</v>
      </c>
      <c r="B35" s="6">
        <v>30.0</v>
      </c>
      <c r="C35" s="7" t="s">
        <v>332</v>
      </c>
      <c r="D35" s="15" t="s">
        <v>333</v>
      </c>
      <c r="E35" s="9" t="s">
        <v>11</v>
      </c>
    </row>
    <row r="36">
      <c r="A36" s="14" t="s">
        <v>273</v>
      </c>
      <c r="B36" s="6">
        <v>31.0</v>
      </c>
      <c r="C36" s="7" t="s">
        <v>334</v>
      </c>
      <c r="D36" s="15" t="s">
        <v>335</v>
      </c>
      <c r="E36" s="9" t="s">
        <v>11</v>
      </c>
    </row>
    <row r="37">
      <c r="A37" s="14" t="s">
        <v>273</v>
      </c>
      <c r="B37" s="6">
        <v>32.0</v>
      </c>
      <c r="C37" s="7" t="s">
        <v>336</v>
      </c>
      <c r="D37" s="15" t="s">
        <v>337</v>
      </c>
      <c r="E37" s="9" t="s">
        <v>18</v>
      </c>
    </row>
    <row r="38">
      <c r="A38" s="2"/>
      <c r="B38" s="2"/>
      <c r="C38" s="10"/>
      <c r="D38" s="11" t="s">
        <v>75</v>
      </c>
      <c r="E38" s="6">
        <f>COUNTIF(E6:E37,"L")</f>
        <v>14</v>
      </c>
    </row>
    <row r="39">
      <c r="A39" s="2"/>
      <c r="B39" s="2"/>
      <c r="C39" s="10"/>
      <c r="D39" s="11" t="s">
        <v>76</v>
      </c>
      <c r="E39" s="6">
        <f>COUNTIF(E6:E37,"P")</f>
        <v>18</v>
      </c>
    </row>
    <row r="40">
      <c r="A40" s="2"/>
      <c r="B40" s="2"/>
      <c r="C40" s="12"/>
      <c r="D40" s="11" t="s">
        <v>77</v>
      </c>
      <c r="E40" s="13">
        <f>SUM(E38:E39)</f>
        <v>32</v>
      </c>
    </row>
  </sheetData>
  <mergeCells count="3">
    <mergeCell ref="A1:E1"/>
    <mergeCell ref="A2:E2"/>
    <mergeCell ref="A3:E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4" max="4" width="29.75"/>
    <col customWidth="1" min="5" max="5" width="15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  <c r="B4" s="2"/>
      <c r="C4" s="2"/>
      <c r="D4" s="2"/>
      <c r="E4" s="2"/>
    </row>
    <row r="5" ht="37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>
      <c r="A6" s="14" t="s">
        <v>338</v>
      </c>
      <c r="B6" s="6">
        <v>1.0</v>
      </c>
      <c r="C6" s="7" t="s">
        <v>339</v>
      </c>
      <c r="D6" s="15" t="s">
        <v>340</v>
      </c>
      <c r="E6" s="9" t="s">
        <v>11</v>
      </c>
    </row>
    <row r="7">
      <c r="A7" s="14" t="s">
        <v>338</v>
      </c>
      <c r="B7" s="6">
        <v>2.0</v>
      </c>
      <c r="C7" s="7" t="s">
        <v>341</v>
      </c>
      <c r="D7" s="15" t="s">
        <v>342</v>
      </c>
      <c r="E7" s="9" t="s">
        <v>11</v>
      </c>
    </row>
    <row r="8">
      <c r="A8" s="14" t="s">
        <v>338</v>
      </c>
      <c r="B8" s="6">
        <v>3.0</v>
      </c>
      <c r="C8" s="7" t="s">
        <v>343</v>
      </c>
      <c r="D8" s="15" t="s">
        <v>344</v>
      </c>
      <c r="E8" s="9" t="s">
        <v>18</v>
      </c>
    </row>
    <row r="9">
      <c r="A9" s="14" t="s">
        <v>338</v>
      </c>
      <c r="B9" s="6">
        <v>4.0</v>
      </c>
      <c r="C9" s="7" t="s">
        <v>345</v>
      </c>
      <c r="D9" s="15" t="s">
        <v>346</v>
      </c>
      <c r="E9" s="9" t="s">
        <v>18</v>
      </c>
    </row>
    <row r="10">
      <c r="A10" s="14" t="s">
        <v>338</v>
      </c>
      <c r="B10" s="6">
        <v>5.0</v>
      </c>
      <c r="C10" s="7" t="s">
        <v>347</v>
      </c>
      <c r="D10" s="15" t="s">
        <v>348</v>
      </c>
      <c r="E10" s="9" t="s">
        <v>18</v>
      </c>
    </row>
    <row r="11">
      <c r="A11" s="14" t="s">
        <v>338</v>
      </c>
      <c r="B11" s="6">
        <v>6.0</v>
      </c>
      <c r="C11" s="7" t="s">
        <v>349</v>
      </c>
      <c r="D11" s="15" t="s">
        <v>350</v>
      </c>
      <c r="E11" s="9" t="s">
        <v>11</v>
      </c>
    </row>
    <row r="12">
      <c r="A12" s="14" t="s">
        <v>338</v>
      </c>
      <c r="B12" s="6">
        <v>7.0</v>
      </c>
      <c r="C12" s="7" t="s">
        <v>351</v>
      </c>
      <c r="D12" s="15" t="s">
        <v>352</v>
      </c>
      <c r="E12" s="9" t="s">
        <v>18</v>
      </c>
    </row>
    <row r="13">
      <c r="A13" s="14" t="s">
        <v>338</v>
      </c>
      <c r="B13" s="6">
        <v>8.0</v>
      </c>
      <c r="C13" s="7" t="s">
        <v>353</v>
      </c>
      <c r="D13" s="15" t="s">
        <v>354</v>
      </c>
      <c r="E13" s="9" t="s">
        <v>18</v>
      </c>
    </row>
    <row r="14">
      <c r="A14" s="14" t="s">
        <v>338</v>
      </c>
      <c r="B14" s="6">
        <v>9.0</v>
      </c>
      <c r="C14" s="7" t="s">
        <v>355</v>
      </c>
      <c r="D14" s="15" t="s">
        <v>356</v>
      </c>
      <c r="E14" s="9" t="s">
        <v>18</v>
      </c>
    </row>
    <row r="15">
      <c r="A15" s="14" t="s">
        <v>338</v>
      </c>
      <c r="B15" s="6">
        <v>10.0</v>
      </c>
      <c r="C15" s="7" t="s">
        <v>357</v>
      </c>
      <c r="D15" s="15" t="s">
        <v>358</v>
      </c>
      <c r="E15" s="9" t="s">
        <v>18</v>
      </c>
    </row>
    <row r="16">
      <c r="A16" s="14" t="s">
        <v>338</v>
      </c>
      <c r="B16" s="6">
        <v>11.0</v>
      </c>
      <c r="C16" s="7" t="s">
        <v>359</v>
      </c>
      <c r="D16" s="15" t="s">
        <v>360</v>
      </c>
      <c r="E16" s="9" t="s">
        <v>11</v>
      </c>
    </row>
    <row r="17">
      <c r="A17" s="14" t="s">
        <v>338</v>
      </c>
      <c r="B17" s="6">
        <v>12.0</v>
      </c>
      <c r="C17" s="7" t="s">
        <v>361</v>
      </c>
      <c r="D17" s="15" t="s">
        <v>362</v>
      </c>
      <c r="E17" s="9" t="s">
        <v>18</v>
      </c>
    </row>
    <row r="18">
      <c r="A18" s="14" t="s">
        <v>338</v>
      </c>
      <c r="B18" s="6">
        <v>13.0</v>
      </c>
      <c r="C18" s="7" t="s">
        <v>363</v>
      </c>
      <c r="D18" s="15" t="s">
        <v>364</v>
      </c>
      <c r="E18" s="9" t="s">
        <v>11</v>
      </c>
    </row>
    <row r="19">
      <c r="A19" s="14" t="s">
        <v>338</v>
      </c>
      <c r="B19" s="6">
        <v>14.0</v>
      </c>
      <c r="C19" s="7" t="s">
        <v>365</v>
      </c>
      <c r="D19" s="15" t="s">
        <v>366</v>
      </c>
      <c r="E19" s="9" t="s">
        <v>11</v>
      </c>
    </row>
    <row r="20">
      <c r="A20" s="14" t="s">
        <v>338</v>
      </c>
      <c r="B20" s="6">
        <v>15.0</v>
      </c>
      <c r="C20" s="7" t="s">
        <v>367</v>
      </c>
      <c r="D20" s="15" t="s">
        <v>368</v>
      </c>
      <c r="E20" s="9" t="s">
        <v>18</v>
      </c>
    </row>
    <row r="21">
      <c r="A21" s="14" t="s">
        <v>338</v>
      </c>
      <c r="B21" s="6">
        <v>16.0</v>
      </c>
      <c r="C21" s="7" t="s">
        <v>369</v>
      </c>
      <c r="D21" s="15" t="s">
        <v>370</v>
      </c>
      <c r="E21" s="9" t="s">
        <v>11</v>
      </c>
    </row>
    <row r="22">
      <c r="A22" s="14" t="s">
        <v>338</v>
      </c>
      <c r="B22" s="6">
        <v>17.0</v>
      </c>
      <c r="C22" s="7" t="s">
        <v>371</v>
      </c>
      <c r="D22" s="15" t="s">
        <v>372</v>
      </c>
      <c r="E22" s="9" t="s">
        <v>18</v>
      </c>
    </row>
    <row r="23">
      <c r="A23" s="14" t="s">
        <v>338</v>
      </c>
      <c r="B23" s="6">
        <v>18.0</v>
      </c>
      <c r="C23" s="7" t="s">
        <v>373</v>
      </c>
      <c r="D23" s="15" t="s">
        <v>374</v>
      </c>
      <c r="E23" s="9" t="s">
        <v>11</v>
      </c>
    </row>
    <row r="24">
      <c r="A24" s="14" t="s">
        <v>338</v>
      </c>
      <c r="B24" s="6">
        <v>19.0</v>
      </c>
      <c r="C24" s="7" t="s">
        <v>375</v>
      </c>
      <c r="D24" s="15" t="s">
        <v>376</v>
      </c>
      <c r="E24" s="9" t="s">
        <v>18</v>
      </c>
    </row>
    <row r="25">
      <c r="A25" s="14" t="s">
        <v>338</v>
      </c>
      <c r="B25" s="6">
        <v>20.0</v>
      </c>
      <c r="C25" s="7" t="s">
        <v>377</v>
      </c>
      <c r="D25" s="15" t="s">
        <v>378</v>
      </c>
      <c r="E25" s="9" t="s">
        <v>18</v>
      </c>
    </row>
    <row r="26">
      <c r="A26" s="14" t="s">
        <v>338</v>
      </c>
      <c r="B26" s="6">
        <v>21.0</v>
      </c>
      <c r="C26" s="7" t="s">
        <v>379</v>
      </c>
      <c r="D26" s="15" t="s">
        <v>380</v>
      </c>
      <c r="E26" s="9" t="s">
        <v>18</v>
      </c>
    </row>
    <row r="27">
      <c r="A27" s="14" t="s">
        <v>338</v>
      </c>
      <c r="B27" s="6">
        <v>22.0</v>
      </c>
      <c r="C27" s="7" t="s">
        <v>381</v>
      </c>
      <c r="D27" s="15" t="s">
        <v>382</v>
      </c>
      <c r="E27" s="9" t="s">
        <v>11</v>
      </c>
    </row>
    <row r="28">
      <c r="A28" s="14" t="s">
        <v>338</v>
      </c>
      <c r="B28" s="6">
        <v>23.0</v>
      </c>
      <c r="C28" s="7" t="s">
        <v>383</v>
      </c>
      <c r="D28" s="15" t="s">
        <v>384</v>
      </c>
      <c r="E28" s="9" t="s">
        <v>11</v>
      </c>
    </row>
    <row r="29">
      <c r="A29" s="14" t="s">
        <v>338</v>
      </c>
      <c r="B29" s="6">
        <v>24.0</v>
      </c>
      <c r="C29" s="7" t="s">
        <v>385</v>
      </c>
      <c r="D29" s="15" t="s">
        <v>386</v>
      </c>
      <c r="E29" s="9" t="s">
        <v>18</v>
      </c>
    </row>
    <row r="30">
      <c r="A30" s="14" t="s">
        <v>338</v>
      </c>
      <c r="B30" s="6">
        <v>25.0</v>
      </c>
      <c r="C30" s="7" t="s">
        <v>387</v>
      </c>
      <c r="D30" s="15" t="s">
        <v>388</v>
      </c>
      <c r="E30" s="9" t="s">
        <v>18</v>
      </c>
    </row>
    <row r="31">
      <c r="A31" s="14" t="s">
        <v>338</v>
      </c>
      <c r="B31" s="6">
        <v>26.0</v>
      </c>
      <c r="C31" s="7" t="s">
        <v>389</v>
      </c>
      <c r="D31" s="15" t="s">
        <v>390</v>
      </c>
      <c r="E31" s="9" t="s">
        <v>18</v>
      </c>
    </row>
    <row r="32">
      <c r="A32" s="14" t="s">
        <v>338</v>
      </c>
      <c r="B32" s="6">
        <v>27.0</v>
      </c>
      <c r="C32" s="7" t="s">
        <v>391</v>
      </c>
      <c r="D32" s="15" t="s">
        <v>392</v>
      </c>
      <c r="E32" s="9" t="s">
        <v>11</v>
      </c>
    </row>
    <row r="33">
      <c r="A33" s="14" t="s">
        <v>338</v>
      </c>
      <c r="B33" s="6">
        <v>28.0</v>
      </c>
      <c r="C33" s="7" t="s">
        <v>393</v>
      </c>
      <c r="D33" s="15" t="s">
        <v>394</v>
      </c>
      <c r="E33" s="9" t="s">
        <v>18</v>
      </c>
    </row>
    <row r="34">
      <c r="A34" s="14" t="s">
        <v>338</v>
      </c>
      <c r="B34" s="6">
        <v>29.0</v>
      </c>
      <c r="C34" s="7" t="s">
        <v>395</v>
      </c>
      <c r="D34" s="15" t="s">
        <v>396</v>
      </c>
      <c r="E34" s="9" t="s">
        <v>18</v>
      </c>
    </row>
    <row r="35">
      <c r="A35" s="14" t="s">
        <v>338</v>
      </c>
      <c r="B35" s="6">
        <v>30.0</v>
      </c>
      <c r="C35" s="7" t="s">
        <v>397</v>
      </c>
      <c r="D35" s="15" t="s">
        <v>398</v>
      </c>
      <c r="E35" s="9" t="s">
        <v>18</v>
      </c>
    </row>
    <row r="36">
      <c r="A36" s="14" t="s">
        <v>338</v>
      </c>
      <c r="B36" s="6">
        <v>31.0</v>
      </c>
      <c r="C36" s="7" t="s">
        <v>399</v>
      </c>
      <c r="D36" s="15" t="s">
        <v>400</v>
      </c>
      <c r="E36" s="9" t="s">
        <v>11</v>
      </c>
    </row>
    <row r="37">
      <c r="A37" s="14" t="s">
        <v>338</v>
      </c>
      <c r="B37" s="6">
        <v>32.0</v>
      </c>
      <c r="C37" s="7" t="s">
        <v>401</v>
      </c>
      <c r="D37" s="15" t="s">
        <v>402</v>
      </c>
      <c r="E37" s="9" t="s">
        <v>18</v>
      </c>
    </row>
    <row r="38">
      <c r="A38" s="2"/>
      <c r="B38" s="2"/>
      <c r="C38" s="10"/>
      <c r="D38" s="11" t="s">
        <v>75</v>
      </c>
      <c r="E38" s="6">
        <f>COUNTIF(E6:E37,"L")</f>
        <v>12</v>
      </c>
    </row>
    <row r="39">
      <c r="A39" s="2"/>
      <c r="B39" s="2"/>
      <c r="C39" s="10"/>
      <c r="D39" s="11" t="s">
        <v>76</v>
      </c>
      <c r="E39" s="6">
        <f>COUNTIF(E6:E37,"P")</f>
        <v>20</v>
      </c>
    </row>
    <row r="40">
      <c r="A40" s="2"/>
      <c r="B40" s="2"/>
      <c r="C40" s="12"/>
      <c r="D40" s="11" t="s">
        <v>77</v>
      </c>
      <c r="E40" s="13">
        <f>SUM(E38:E39)</f>
        <v>32</v>
      </c>
    </row>
  </sheetData>
  <mergeCells count="3">
    <mergeCell ref="A1:E1"/>
    <mergeCell ref="A2:E2"/>
    <mergeCell ref="A3:E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4" max="4" width="29.75"/>
    <col customWidth="1" min="5" max="5" width="15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  <c r="B4" s="2"/>
      <c r="C4" s="2"/>
      <c r="D4" s="2"/>
      <c r="E4" s="2"/>
    </row>
    <row r="5" ht="37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>
      <c r="A6" s="14" t="s">
        <v>403</v>
      </c>
      <c r="B6" s="6">
        <v>1.0</v>
      </c>
      <c r="C6" s="7" t="s">
        <v>404</v>
      </c>
      <c r="D6" s="15" t="s">
        <v>405</v>
      </c>
      <c r="E6" s="16" t="s">
        <v>11</v>
      </c>
    </row>
    <row r="7">
      <c r="A7" s="14" t="s">
        <v>403</v>
      </c>
      <c r="B7" s="6">
        <v>2.0</v>
      </c>
      <c r="C7" s="7" t="s">
        <v>406</v>
      </c>
      <c r="D7" s="15" t="s">
        <v>407</v>
      </c>
      <c r="E7" s="16" t="s">
        <v>11</v>
      </c>
    </row>
    <row r="8">
      <c r="A8" s="14" t="s">
        <v>403</v>
      </c>
      <c r="B8" s="6">
        <v>3.0</v>
      </c>
      <c r="C8" s="7" t="s">
        <v>408</v>
      </c>
      <c r="D8" s="15" t="s">
        <v>409</v>
      </c>
      <c r="E8" s="16" t="s">
        <v>18</v>
      </c>
    </row>
    <row r="9">
      <c r="A9" s="14" t="s">
        <v>403</v>
      </c>
      <c r="B9" s="6">
        <v>4.0</v>
      </c>
      <c r="C9" s="7" t="s">
        <v>410</v>
      </c>
      <c r="D9" s="15" t="s">
        <v>411</v>
      </c>
      <c r="E9" s="16" t="s">
        <v>11</v>
      </c>
    </row>
    <row r="10">
      <c r="A10" s="14" t="s">
        <v>403</v>
      </c>
      <c r="B10" s="6">
        <v>5.0</v>
      </c>
      <c r="C10" s="7" t="s">
        <v>412</v>
      </c>
      <c r="D10" s="15" t="s">
        <v>413</v>
      </c>
      <c r="E10" s="16" t="s">
        <v>18</v>
      </c>
    </row>
    <row r="11">
      <c r="A11" s="14" t="s">
        <v>403</v>
      </c>
      <c r="B11" s="6">
        <v>6.0</v>
      </c>
      <c r="C11" s="7" t="s">
        <v>414</v>
      </c>
      <c r="D11" s="15" t="s">
        <v>415</v>
      </c>
      <c r="E11" s="16" t="s">
        <v>18</v>
      </c>
    </row>
    <row r="12">
      <c r="A12" s="14" t="s">
        <v>403</v>
      </c>
      <c r="B12" s="6">
        <v>7.0</v>
      </c>
      <c r="C12" s="7" t="s">
        <v>416</v>
      </c>
      <c r="D12" s="15" t="s">
        <v>417</v>
      </c>
      <c r="E12" s="16" t="s">
        <v>18</v>
      </c>
    </row>
    <row r="13">
      <c r="A13" s="14" t="s">
        <v>403</v>
      </c>
      <c r="B13" s="6">
        <v>8.0</v>
      </c>
      <c r="C13" s="7" t="s">
        <v>418</v>
      </c>
      <c r="D13" s="15" t="s">
        <v>419</v>
      </c>
      <c r="E13" s="16" t="s">
        <v>11</v>
      </c>
    </row>
    <row r="14">
      <c r="A14" s="14" t="s">
        <v>403</v>
      </c>
      <c r="B14" s="6">
        <v>9.0</v>
      </c>
      <c r="C14" s="7" t="s">
        <v>420</v>
      </c>
      <c r="D14" s="15" t="s">
        <v>421</v>
      </c>
      <c r="E14" s="16" t="s">
        <v>11</v>
      </c>
    </row>
    <row r="15">
      <c r="A15" s="14" t="s">
        <v>403</v>
      </c>
      <c r="B15" s="6">
        <v>10.0</v>
      </c>
      <c r="C15" s="7" t="s">
        <v>422</v>
      </c>
      <c r="D15" s="15" t="s">
        <v>423</v>
      </c>
      <c r="E15" s="16" t="s">
        <v>18</v>
      </c>
    </row>
    <row r="16">
      <c r="A16" s="14" t="s">
        <v>403</v>
      </c>
      <c r="B16" s="6">
        <v>11.0</v>
      </c>
      <c r="C16" s="7" t="s">
        <v>424</v>
      </c>
      <c r="D16" s="15" t="s">
        <v>425</v>
      </c>
      <c r="E16" s="16" t="s">
        <v>18</v>
      </c>
    </row>
    <row r="17">
      <c r="A17" s="14" t="s">
        <v>403</v>
      </c>
      <c r="B17" s="6">
        <v>12.0</v>
      </c>
      <c r="C17" s="7" t="s">
        <v>426</v>
      </c>
      <c r="D17" s="15" t="s">
        <v>427</v>
      </c>
      <c r="E17" s="16" t="s">
        <v>11</v>
      </c>
    </row>
    <row r="18">
      <c r="A18" s="14" t="s">
        <v>403</v>
      </c>
      <c r="B18" s="6">
        <v>13.0</v>
      </c>
      <c r="C18" s="7" t="s">
        <v>428</v>
      </c>
      <c r="D18" s="15" t="s">
        <v>429</v>
      </c>
      <c r="E18" s="16" t="s">
        <v>18</v>
      </c>
    </row>
    <row r="19">
      <c r="A19" s="14" t="s">
        <v>403</v>
      </c>
      <c r="B19" s="6">
        <v>14.0</v>
      </c>
      <c r="C19" s="7" t="s">
        <v>430</v>
      </c>
      <c r="D19" s="15" t="s">
        <v>431</v>
      </c>
      <c r="E19" s="16" t="s">
        <v>18</v>
      </c>
    </row>
    <row r="20">
      <c r="A20" s="14" t="s">
        <v>403</v>
      </c>
      <c r="B20" s="6">
        <v>15.0</v>
      </c>
      <c r="C20" s="7" t="s">
        <v>432</v>
      </c>
      <c r="D20" s="15" t="s">
        <v>433</v>
      </c>
      <c r="E20" s="16" t="s">
        <v>18</v>
      </c>
    </row>
    <row r="21">
      <c r="A21" s="14" t="s">
        <v>403</v>
      </c>
      <c r="B21" s="6">
        <v>16.0</v>
      </c>
      <c r="C21" s="7" t="s">
        <v>434</v>
      </c>
      <c r="D21" s="15" t="s">
        <v>435</v>
      </c>
      <c r="E21" s="16" t="s">
        <v>11</v>
      </c>
    </row>
    <row r="22">
      <c r="A22" s="14" t="s">
        <v>403</v>
      </c>
      <c r="B22" s="6">
        <v>17.0</v>
      </c>
      <c r="C22" s="7" t="s">
        <v>436</v>
      </c>
      <c r="D22" s="15" t="s">
        <v>437</v>
      </c>
      <c r="E22" s="16" t="s">
        <v>18</v>
      </c>
    </row>
    <row r="23">
      <c r="A23" s="14" t="s">
        <v>403</v>
      </c>
      <c r="B23" s="6">
        <v>18.0</v>
      </c>
      <c r="C23" s="7" t="s">
        <v>438</v>
      </c>
      <c r="D23" s="15" t="s">
        <v>439</v>
      </c>
      <c r="E23" s="16" t="s">
        <v>11</v>
      </c>
    </row>
    <row r="24">
      <c r="A24" s="14" t="s">
        <v>403</v>
      </c>
      <c r="B24" s="6">
        <v>19.0</v>
      </c>
      <c r="C24" s="7" t="s">
        <v>440</v>
      </c>
      <c r="D24" s="15" t="s">
        <v>441</v>
      </c>
      <c r="E24" s="16" t="s">
        <v>11</v>
      </c>
    </row>
    <row r="25">
      <c r="A25" s="14" t="s">
        <v>403</v>
      </c>
      <c r="B25" s="6">
        <v>20.0</v>
      </c>
      <c r="C25" s="7" t="s">
        <v>442</v>
      </c>
      <c r="D25" s="15" t="s">
        <v>443</v>
      </c>
      <c r="E25" s="16" t="s">
        <v>18</v>
      </c>
    </row>
    <row r="26">
      <c r="A26" s="14" t="s">
        <v>403</v>
      </c>
      <c r="B26" s="6">
        <v>21.0</v>
      </c>
      <c r="C26" s="7" t="s">
        <v>444</v>
      </c>
      <c r="D26" s="15" t="s">
        <v>445</v>
      </c>
      <c r="E26" s="16" t="s">
        <v>18</v>
      </c>
    </row>
    <row r="27">
      <c r="A27" s="14" t="s">
        <v>403</v>
      </c>
      <c r="B27" s="6">
        <v>22.0</v>
      </c>
      <c r="C27" s="7" t="s">
        <v>446</v>
      </c>
      <c r="D27" s="15" t="s">
        <v>447</v>
      </c>
      <c r="E27" s="16" t="s">
        <v>18</v>
      </c>
    </row>
    <row r="28">
      <c r="A28" s="14" t="s">
        <v>403</v>
      </c>
      <c r="B28" s="6">
        <v>23.0</v>
      </c>
      <c r="C28" s="7" t="s">
        <v>448</v>
      </c>
      <c r="D28" s="15" t="s">
        <v>449</v>
      </c>
      <c r="E28" s="16" t="s">
        <v>11</v>
      </c>
    </row>
    <row r="29">
      <c r="A29" s="14" t="s">
        <v>403</v>
      </c>
      <c r="B29" s="6">
        <v>24.0</v>
      </c>
      <c r="C29" s="7" t="s">
        <v>450</v>
      </c>
      <c r="D29" s="15" t="s">
        <v>451</v>
      </c>
      <c r="E29" s="16" t="s">
        <v>11</v>
      </c>
    </row>
    <row r="30">
      <c r="A30" s="14" t="s">
        <v>403</v>
      </c>
      <c r="B30" s="6">
        <v>25.0</v>
      </c>
      <c r="C30" s="7" t="s">
        <v>452</v>
      </c>
      <c r="D30" s="15" t="s">
        <v>453</v>
      </c>
      <c r="E30" s="16" t="s">
        <v>11</v>
      </c>
    </row>
    <row r="31">
      <c r="A31" s="14" t="s">
        <v>403</v>
      </c>
      <c r="B31" s="6">
        <v>26.0</v>
      </c>
      <c r="C31" s="7" t="s">
        <v>454</v>
      </c>
      <c r="D31" s="15" t="s">
        <v>455</v>
      </c>
      <c r="E31" s="16" t="s">
        <v>18</v>
      </c>
    </row>
    <row r="32">
      <c r="A32" s="14" t="s">
        <v>403</v>
      </c>
      <c r="B32" s="6">
        <v>27.0</v>
      </c>
      <c r="C32" s="7" t="s">
        <v>456</v>
      </c>
      <c r="D32" s="15" t="s">
        <v>457</v>
      </c>
      <c r="E32" s="16" t="s">
        <v>18</v>
      </c>
    </row>
    <row r="33">
      <c r="A33" s="14" t="s">
        <v>403</v>
      </c>
      <c r="B33" s="6">
        <v>28.0</v>
      </c>
      <c r="C33" s="7" t="s">
        <v>458</v>
      </c>
      <c r="D33" s="15" t="s">
        <v>459</v>
      </c>
      <c r="E33" s="16" t="s">
        <v>18</v>
      </c>
    </row>
    <row r="34">
      <c r="A34" s="14" t="s">
        <v>403</v>
      </c>
      <c r="B34" s="6">
        <v>29.0</v>
      </c>
      <c r="C34" s="7" t="s">
        <v>460</v>
      </c>
      <c r="D34" s="15" t="s">
        <v>461</v>
      </c>
      <c r="E34" s="16" t="s">
        <v>18</v>
      </c>
    </row>
    <row r="35">
      <c r="A35" s="14" t="s">
        <v>403</v>
      </c>
      <c r="B35" s="6">
        <v>30.0</v>
      </c>
      <c r="C35" s="7" t="s">
        <v>462</v>
      </c>
      <c r="D35" s="15" t="s">
        <v>463</v>
      </c>
      <c r="E35" s="16" t="s">
        <v>11</v>
      </c>
    </row>
    <row r="36">
      <c r="A36" s="14" t="s">
        <v>403</v>
      </c>
      <c r="B36" s="6">
        <v>31.0</v>
      </c>
      <c r="C36" s="7" t="s">
        <v>464</v>
      </c>
      <c r="D36" s="15" t="s">
        <v>465</v>
      </c>
      <c r="E36" s="16" t="s">
        <v>18</v>
      </c>
    </row>
    <row r="37">
      <c r="A37" s="14" t="s">
        <v>403</v>
      </c>
      <c r="B37" s="6">
        <v>32.0</v>
      </c>
      <c r="C37" s="7" t="s">
        <v>466</v>
      </c>
      <c r="D37" s="15" t="s">
        <v>467</v>
      </c>
      <c r="E37" s="16" t="s">
        <v>18</v>
      </c>
    </row>
    <row r="38">
      <c r="A38" s="2"/>
      <c r="B38" s="2"/>
      <c r="C38" s="10"/>
      <c r="D38" s="11" t="s">
        <v>75</v>
      </c>
      <c r="E38" s="6">
        <f>COUNTIF(E6:E37,"L")</f>
        <v>13</v>
      </c>
    </row>
    <row r="39">
      <c r="A39" s="2"/>
      <c r="B39" s="2"/>
      <c r="C39" s="10"/>
      <c r="D39" s="11" t="s">
        <v>76</v>
      </c>
      <c r="E39" s="6">
        <f>COUNTIF(E6:E37,"P")</f>
        <v>19</v>
      </c>
    </row>
    <row r="40">
      <c r="A40" s="2"/>
      <c r="B40" s="2"/>
      <c r="C40" s="12"/>
      <c r="D40" s="11" t="s">
        <v>77</v>
      </c>
      <c r="E40" s="13">
        <f>SUM(E38:E39)</f>
        <v>32</v>
      </c>
    </row>
  </sheetData>
  <mergeCells count="3">
    <mergeCell ref="A1:E1"/>
    <mergeCell ref="A2:E2"/>
    <mergeCell ref="A3:E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